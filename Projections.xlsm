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mi\Documents\FreeCAD\PROJETS\Support Smartphone\PRESENTATION\"/>
    </mc:Choice>
  </mc:AlternateContent>
  <xr:revisionPtr revIDLastSave="0" documentId="13_ncr:1_{11A00047-B5E7-4BD1-B24C-785EB9B20D8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Params" sheetId="2" r:id="rId1"/>
    <sheet name="Tables" sheetId="1" r:id="rId2"/>
    <sheet name="Graph" sheetId="3" r:id="rId3"/>
    <sheet name="tblINIT" sheetId="4" r:id="rId4"/>
  </sheets>
  <definedNames>
    <definedName name="AnneeDebAnalys">Params!$B$3</definedName>
    <definedName name="AnneeDebPeriod">Params!$B$13</definedName>
    <definedName name="AnneeFinAnalys">Params!$B$4</definedName>
    <definedName name="AnneeFinPeriod">Params!$B$14</definedName>
    <definedName name="AnneeRefer">Params!$B$2</definedName>
    <definedName name="IndicPopulDebPeriod">Params!$B$15</definedName>
    <definedName name="IndicPopulFinPeriod">Params!$B$16</definedName>
    <definedName name="Marché">Params!$B$1</definedName>
    <definedName name="PenetrationRefer">Params!$B$6</definedName>
    <definedName name="PenetRefCount">Tables!$G$4</definedName>
    <definedName name="PenetRefTaux">Tables!$F$4</definedName>
    <definedName name="PopulationDebAnalyse">Params!$B$7</definedName>
    <definedName name="PopulationFinAnalyse">Params!$B$8</definedName>
    <definedName name="PopulationRefer">Params!$B$5</definedName>
    <definedName name="PopulRefCount">Tables!$C$4</definedName>
    <definedName name="PopulRefIndic">Tables!$B$4</definedName>
    <definedName name="PrixVenteIncrement">Params!$B$10</definedName>
    <definedName name="PrixVenteInitial">Params!$B$9</definedName>
    <definedName name="RefYear">Tables!$A$4</definedName>
    <definedName name="Royalties">Params!$B$12</definedName>
    <definedName name="TauxEquipDebPer">Params!$B$19</definedName>
    <definedName name="TauxEquipFinPer">Params!$B$20</definedName>
    <definedName name="TauxInflat">Params!$B$11</definedName>
    <definedName name="TauxPenetrDebPeriod">Params!$B$17</definedName>
    <definedName name="TauxPenetrFinPeriod">Params!$B$18</definedName>
    <definedName name="tblEquip">Tables!$J$5:$K$5</definedName>
    <definedName name="tblPenetr">Tables!$F$5:$H$5</definedName>
    <definedName name="tblPopulat">Tables!$B$5:$D$5</definedName>
    <definedName name="tblVentes">Tables!$L$5:$P$5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4" l="1"/>
  <c r="A4" i="1"/>
  <c r="G4" i="1"/>
  <c r="H4" i="1" s="1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I5" i="4"/>
  <c r="E5" i="4"/>
  <c r="O4" i="1"/>
  <c r="N4" i="1"/>
  <c r="J4" i="1"/>
  <c r="C4" i="1"/>
  <c r="C5" i="1" s="1"/>
  <c r="O4" i="4"/>
  <c r="N4" i="4"/>
  <c r="J4" i="4"/>
  <c r="G4" i="4"/>
  <c r="N10" i="1" l="1"/>
  <c r="N17" i="1"/>
  <c r="N9" i="1"/>
  <c r="N24" i="1"/>
  <c r="N16" i="1"/>
  <c r="N8" i="1"/>
  <c r="N23" i="1"/>
  <c r="N15" i="1"/>
  <c r="N7" i="1"/>
  <c r="N22" i="1"/>
  <c r="N14" i="1"/>
  <c r="N21" i="1"/>
  <c r="N13" i="1"/>
  <c r="N6" i="1"/>
  <c r="N20" i="1"/>
  <c r="N12" i="1"/>
  <c r="N19" i="1"/>
  <c r="N11" i="1"/>
  <c r="N18" i="1"/>
  <c r="N20" i="4"/>
  <c r="O20" i="4" s="1"/>
  <c r="N5" i="1"/>
  <c r="O5" i="1" s="1"/>
  <c r="G5" i="1"/>
  <c r="H5" i="1" s="1"/>
  <c r="D5" i="1"/>
  <c r="C19" i="1"/>
  <c r="G19" i="1" s="1"/>
  <c r="K19" i="1" s="1"/>
  <c r="C23" i="1"/>
  <c r="G23" i="1" s="1"/>
  <c r="K23" i="1" s="1"/>
  <c r="F4" i="1"/>
  <c r="C9" i="1"/>
  <c r="G9" i="1" s="1"/>
  <c r="C8" i="1"/>
  <c r="G8" i="1" s="1"/>
  <c r="K8" i="1" s="1"/>
  <c r="C20" i="1"/>
  <c r="G20" i="1" s="1"/>
  <c r="K20" i="1" s="1"/>
  <c r="C11" i="1"/>
  <c r="G11" i="1" s="1"/>
  <c r="C15" i="1"/>
  <c r="G15" i="1" s="1"/>
  <c r="K15" i="1" s="1"/>
  <c r="C21" i="1"/>
  <c r="G21" i="1" s="1"/>
  <c r="K21" i="1" s="1"/>
  <c r="C10" i="1"/>
  <c r="G10" i="1" s="1"/>
  <c r="K10" i="1" s="1"/>
  <c r="C24" i="1"/>
  <c r="G24" i="1" s="1"/>
  <c r="K24" i="1" s="1"/>
  <c r="C7" i="1"/>
  <c r="G7" i="1" s="1"/>
  <c r="K7" i="1" s="1"/>
  <c r="C13" i="1"/>
  <c r="G13" i="1" s="1"/>
  <c r="K13" i="1" s="1"/>
  <c r="C17" i="1"/>
  <c r="G17" i="1" s="1"/>
  <c r="C6" i="1"/>
  <c r="G6" i="1" s="1"/>
  <c r="K6" i="1" s="1"/>
  <c r="C12" i="1"/>
  <c r="G12" i="1" s="1"/>
  <c r="K12" i="1" s="1"/>
  <c r="C16" i="1"/>
  <c r="G16" i="1" s="1"/>
  <c r="K16" i="1" s="1"/>
  <c r="C18" i="1"/>
  <c r="G18" i="1" s="1"/>
  <c r="K18" i="1" s="1"/>
  <c r="C22" i="1"/>
  <c r="G22" i="1" s="1"/>
  <c r="K22" i="1" s="1"/>
  <c r="C14" i="1"/>
  <c r="G14" i="1" s="1"/>
  <c r="D4" i="1"/>
  <c r="H4" i="4"/>
  <c r="C23" i="4"/>
  <c r="G23" i="4" s="1"/>
  <c r="K23" i="4" s="1"/>
  <c r="C12" i="4"/>
  <c r="G12" i="4" s="1"/>
  <c r="K12" i="4" s="1"/>
  <c r="C16" i="4"/>
  <c r="G16" i="4" s="1"/>
  <c r="K16" i="4" s="1"/>
  <c r="C8" i="4"/>
  <c r="G8" i="4" s="1"/>
  <c r="K8" i="4" s="1"/>
  <c r="C20" i="4"/>
  <c r="G20" i="4" s="1"/>
  <c r="K20" i="4" s="1"/>
  <c r="C24" i="4"/>
  <c r="G24" i="4" s="1"/>
  <c r="K24" i="4" s="1"/>
  <c r="N8" i="4"/>
  <c r="O8" i="4" s="1"/>
  <c r="N24" i="4"/>
  <c r="O24" i="4" s="1"/>
  <c r="N23" i="4"/>
  <c r="O23" i="4" s="1"/>
  <c r="N19" i="4"/>
  <c r="O19" i="4" s="1"/>
  <c r="N15" i="4"/>
  <c r="O15" i="4" s="1"/>
  <c r="N11" i="4"/>
  <c r="O11" i="4" s="1"/>
  <c r="N7" i="4"/>
  <c r="O7" i="4" s="1"/>
  <c r="N22" i="4"/>
  <c r="O22" i="4" s="1"/>
  <c r="N18" i="4"/>
  <c r="O18" i="4" s="1"/>
  <c r="N14" i="4"/>
  <c r="O14" i="4" s="1"/>
  <c r="N10" i="4"/>
  <c r="O10" i="4" s="1"/>
  <c r="N6" i="4"/>
  <c r="O6" i="4" s="1"/>
  <c r="N21" i="4"/>
  <c r="O21" i="4" s="1"/>
  <c r="N17" i="4"/>
  <c r="O17" i="4" s="1"/>
  <c r="N13" i="4"/>
  <c r="O13" i="4" s="1"/>
  <c r="N9" i="4"/>
  <c r="O9" i="4" s="1"/>
  <c r="N5" i="4"/>
  <c r="O5" i="4" s="1"/>
  <c r="N16" i="4"/>
  <c r="O16" i="4" s="1"/>
  <c r="N12" i="4"/>
  <c r="O12" i="4" s="1"/>
  <c r="C5" i="4"/>
  <c r="C13" i="4"/>
  <c r="C17" i="4"/>
  <c r="C21" i="4"/>
  <c r="D4" i="4"/>
  <c r="C9" i="4"/>
  <c r="F4" i="4"/>
  <c r="C6" i="4"/>
  <c r="C10" i="4"/>
  <c r="C14" i="4"/>
  <c r="C18" i="4"/>
  <c r="C22" i="4"/>
  <c r="C7" i="4"/>
  <c r="C11" i="4"/>
  <c r="C15" i="4"/>
  <c r="C19" i="4"/>
  <c r="O6" i="1" l="1"/>
  <c r="H17" i="1"/>
  <c r="H8" i="1"/>
  <c r="H24" i="1"/>
  <c r="H23" i="1"/>
  <c r="D22" i="1"/>
  <c r="H19" i="1"/>
  <c r="D20" i="1"/>
  <c r="D19" i="1"/>
  <c r="H20" i="1"/>
  <c r="H18" i="1"/>
  <c r="H16" i="1"/>
  <c r="D16" i="1"/>
  <c r="H15" i="1"/>
  <c r="D14" i="1"/>
  <c r="H13" i="1"/>
  <c r="H12" i="1"/>
  <c r="D13" i="1"/>
  <c r="D11" i="1"/>
  <c r="H10" i="1"/>
  <c r="D10" i="1"/>
  <c r="D8" i="1"/>
  <c r="H9" i="1"/>
  <c r="H7" i="1"/>
  <c r="D21" i="1"/>
  <c r="K5" i="1"/>
  <c r="L5" i="1" s="1"/>
  <c r="L6" i="1" s="1"/>
  <c r="M6" i="1" s="1"/>
  <c r="D12" i="1"/>
  <c r="H11" i="1"/>
  <c r="D7" i="1"/>
  <c r="D18" i="1"/>
  <c r="D17" i="1"/>
  <c r="H6" i="1"/>
  <c r="H21" i="1"/>
  <c r="H22" i="1"/>
  <c r="D24" i="1"/>
  <c r="D23" i="1"/>
  <c r="K14" i="1"/>
  <c r="K17" i="1"/>
  <c r="K9" i="1"/>
  <c r="K11" i="1"/>
  <c r="D6" i="1"/>
  <c r="D9" i="1"/>
  <c r="H14" i="1"/>
  <c r="D15" i="1"/>
  <c r="D24" i="4"/>
  <c r="D16" i="4"/>
  <c r="H24" i="4"/>
  <c r="D20" i="4"/>
  <c r="G14" i="4"/>
  <c r="D14" i="4"/>
  <c r="G5" i="4"/>
  <c r="D5" i="4"/>
  <c r="G7" i="4"/>
  <c r="K7" i="4" s="1"/>
  <c r="D7" i="4"/>
  <c r="G10" i="4"/>
  <c r="D10" i="4"/>
  <c r="G11" i="4"/>
  <c r="D11" i="4"/>
  <c r="G19" i="4"/>
  <c r="D19" i="4"/>
  <c r="G22" i="4"/>
  <c r="D22" i="4"/>
  <c r="G6" i="4"/>
  <c r="D6" i="4"/>
  <c r="G21" i="4"/>
  <c r="D21" i="4"/>
  <c r="D12" i="4"/>
  <c r="G15" i="4"/>
  <c r="D15" i="4"/>
  <c r="G17" i="4"/>
  <c r="D17" i="4"/>
  <c r="D8" i="4"/>
  <c r="D23" i="4"/>
  <c r="G18" i="4"/>
  <c r="D18" i="4"/>
  <c r="G9" i="4"/>
  <c r="D9" i="4"/>
  <c r="G13" i="4"/>
  <c r="D13" i="4"/>
  <c r="P6" i="1" l="1"/>
  <c r="L7" i="1"/>
  <c r="O7" i="1"/>
  <c r="P5" i="1"/>
  <c r="M5" i="1"/>
  <c r="K15" i="4"/>
  <c r="H15" i="4"/>
  <c r="H16" i="4"/>
  <c r="K19" i="4"/>
  <c r="H19" i="4"/>
  <c r="H20" i="4"/>
  <c r="H7" i="4"/>
  <c r="H8" i="4"/>
  <c r="K9" i="4"/>
  <c r="H9" i="4"/>
  <c r="K21" i="4"/>
  <c r="H21" i="4"/>
  <c r="K22" i="4"/>
  <c r="H22" i="4"/>
  <c r="H23" i="4"/>
  <c r="K14" i="4"/>
  <c r="H14" i="4"/>
  <c r="K10" i="4"/>
  <c r="H10" i="4"/>
  <c r="K13" i="4"/>
  <c r="H13" i="4"/>
  <c r="K11" i="4"/>
  <c r="H11" i="4"/>
  <c r="H12" i="4"/>
  <c r="K5" i="4"/>
  <c r="L5" i="4" s="1"/>
  <c r="H5" i="4"/>
  <c r="K18" i="4"/>
  <c r="H18" i="4"/>
  <c r="K17" i="4"/>
  <c r="H17" i="4"/>
  <c r="K6" i="4"/>
  <c r="H6" i="4"/>
  <c r="M7" i="1" l="1"/>
  <c r="L8" i="1"/>
  <c r="L9" i="1" s="1"/>
  <c r="M9" i="1" s="1"/>
  <c r="O8" i="1"/>
  <c r="P7" i="1"/>
  <c r="R5" i="1"/>
  <c r="Q5" i="1"/>
  <c r="P5" i="4"/>
  <c r="M5" i="4"/>
  <c r="L6" i="4"/>
  <c r="M8" i="1" l="1"/>
  <c r="L10" i="1"/>
  <c r="M10" i="1" s="1"/>
  <c r="O9" i="1"/>
  <c r="P8" i="1"/>
  <c r="R7" i="1"/>
  <c r="R6" i="1"/>
  <c r="Q6" i="1"/>
  <c r="R5" i="4"/>
  <c r="Q5" i="4"/>
  <c r="L7" i="4"/>
  <c r="L8" i="4" s="1"/>
  <c r="L9" i="4" s="1"/>
  <c r="P6" i="4"/>
  <c r="R6" i="4" s="1"/>
  <c r="M6" i="4"/>
  <c r="L11" i="1" l="1"/>
  <c r="M11" i="1" s="1"/>
  <c r="O10" i="1"/>
  <c r="P9" i="1"/>
  <c r="Q7" i="1"/>
  <c r="Q8" i="1" s="1"/>
  <c r="R8" i="1"/>
  <c r="Q6" i="4"/>
  <c r="P9" i="4"/>
  <c r="M9" i="4"/>
  <c r="M7" i="4"/>
  <c r="P7" i="4"/>
  <c r="L10" i="4"/>
  <c r="M8" i="4"/>
  <c r="P8" i="4"/>
  <c r="L12" i="1" l="1"/>
  <c r="L13" i="1" s="1"/>
  <c r="O11" i="1"/>
  <c r="P10" i="1"/>
  <c r="R9" i="1"/>
  <c r="R9" i="4"/>
  <c r="R8" i="4"/>
  <c r="Q7" i="4"/>
  <c r="Q8" i="4" s="1"/>
  <c r="Q9" i="4" s="1"/>
  <c r="R7" i="4"/>
  <c r="P10" i="4"/>
  <c r="M10" i="4"/>
  <c r="L11" i="4"/>
  <c r="L12" i="4" s="1"/>
  <c r="M12" i="1" l="1"/>
  <c r="M13" i="1"/>
  <c r="L14" i="1"/>
  <c r="M14" i="1" s="1"/>
  <c r="O12" i="1"/>
  <c r="P11" i="1"/>
  <c r="Q9" i="1"/>
  <c r="Q10" i="1" s="1"/>
  <c r="R10" i="1"/>
  <c r="Q10" i="4"/>
  <c r="R10" i="4"/>
  <c r="M12" i="4"/>
  <c r="P12" i="4"/>
  <c r="M11" i="4"/>
  <c r="P11" i="4"/>
  <c r="L13" i="4"/>
  <c r="L14" i="4" s="1"/>
  <c r="L15" i="1" l="1"/>
  <c r="O13" i="1"/>
  <c r="P12" i="1"/>
  <c r="R12" i="1" s="1"/>
  <c r="R11" i="1"/>
  <c r="Q11" i="1"/>
  <c r="Q11" i="4"/>
  <c r="Q12" i="4" s="1"/>
  <c r="R12" i="4"/>
  <c r="R11" i="4"/>
  <c r="P13" i="4"/>
  <c r="M13" i="4"/>
  <c r="P14" i="4"/>
  <c r="M14" i="4"/>
  <c r="L15" i="4"/>
  <c r="M15" i="1" l="1"/>
  <c r="L16" i="1"/>
  <c r="M16" i="1" s="1"/>
  <c r="O14" i="1"/>
  <c r="P13" i="1"/>
  <c r="R13" i="1" s="1"/>
  <c r="Q12" i="1"/>
  <c r="R14" i="4"/>
  <c r="Q13" i="4"/>
  <c r="Q14" i="4" s="1"/>
  <c r="R13" i="4"/>
  <c r="M15" i="4"/>
  <c r="P15" i="4"/>
  <c r="L16" i="4"/>
  <c r="L17" i="1" l="1"/>
  <c r="O15" i="1"/>
  <c r="P14" i="1"/>
  <c r="R14" i="1" s="1"/>
  <c r="Q13" i="1"/>
  <c r="Q15" i="4"/>
  <c r="R15" i="4"/>
  <c r="M16" i="4"/>
  <c r="P16" i="4"/>
  <c r="R16" i="4" s="1"/>
  <c r="L17" i="4"/>
  <c r="M17" i="1" l="1"/>
  <c r="L18" i="1"/>
  <c r="O16" i="1"/>
  <c r="P15" i="1"/>
  <c r="R15" i="1" s="1"/>
  <c r="Q14" i="1"/>
  <c r="Q16" i="4"/>
  <c r="M17" i="4"/>
  <c r="P17" i="4"/>
  <c r="R17" i="4" s="1"/>
  <c r="L18" i="4"/>
  <c r="M18" i="1" l="1"/>
  <c r="L19" i="1"/>
  <c r="M19" i="1" s="1"/>
  <c r="O17" i="1"/>
  <c r="P16" i="1"/>
  <c r="R16" i="1" s="1"/>
  <c r="Q15" i="1"/>
  <c r="Q17" i="4"/>
  <c r="P18" i="4"/>
  <c r="R18" i="4" s="1"/>
  <c r="M18" i="4"/>
  <c r="L19" i="4"/>
  <c r="L20" i="1" l="1"/>
  <c r="O18" i="1"/>
  <c r="P17" i="1"/>
  <c r="R17" i="1" s="1"/>
  <c r="Q16" i="1"/>
  <c r="Q18" i="4"/>
  <c r="M19" i="4"/>
  <c r="P19" i="4"/>
  <c r="R19" i="4" s="1"/>
  <c r="L20" i="4"/>
  <c r="M20" i="1" l="1"/>
  <c r="L21" i="1"/>
  <c r="M21" i="1" s="1"/>
  <c r="O19" i="1"/>
  <c r="P18" i="1"/>
  <c r="Q17" i="1"/>
  <c r="R18" i="1"/>
  <c r="Q19" i="4"/>
  <c r="M20" i="4"/>
  <c r="P20" i="4"/>
  <c r="R20" i="4" s="1"/>
  <c r="L21" i="4"/>
  <c r="L22" i="1" l="1"/>
  <c r="O20" i="1"/>
  <c r="P19" i="1"/>
  <c r="R19" i="1" s="1"/>
  <c r="Q18" i="1"/>
  <c r="Q20" i="4"/>
  <c r="M21" i="4"/>
  <c r="P21" i="4"/>
  <c r="R21" i="4" s="1"/>
  <c r="L22" i="4"/>
  <c r="M22" i="1" l="1"/>
  <c r="L23" i="1"/>
  <c r="O21" i="1"/>
  <c r="P20" i="1"/>
  <c r="R20" i="1" s="1"/>
  <c r="Q19" i="1"/>
  <c r="Q21" i="4"/>
  <c r="P22" i="4"/>
  <c r="R22" i="4" s="1"/>
  <c r="M22" i="4"/>
  <c r="L23" i="4"/>
  <c r="M23" i="1" l="1"/>
  <c r="L24" i="1"/>
  <c r="M24" i="1" s="1"/>
  <c r="O22" i="1"/>
  <c r="P21" i="1"/>
  <c r="R21" i="1" s="1"/>
  <c r="Q20" i="1"/>
  <c r="Q22" i="4"/>
  <c r="M23" i="4"/>
  <c r="P23" i="4"/>
  <c r="R23" i="4" s="1"/>
  <c r="L24" i="4"/>
  <c r="O23" i="1" l="1"/>
  <c r="P22" i="1"/>
  <c r="R22" i="1" s="1"/>
  <c r="Q21" i="1"/>
  <c r="Q23" i="4"/>
  <c r="M24" i="4"/>
  <c r="P24" i="4"/>
  <c r="R24" i="4" s="1"/>
  <c r="O24" i="1" l="1"/>
  <c r="P24" i="1" s="1"/>
  <c r="P23" i="1"/>
  <c r="R23" i="1" s="1"/>
  <c r="Q22" i="1"/>
  <c r="Q24" i="4"/>
  <c r="R24" i="1" l="1"/>
  <c r="Q23" i="1"/>
  <c r="Q2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Jean-Michel Didier</author>
    <author>jmd</author>
  </authors>
  <commentList>
    <comment ref="F2" authorId="0" shapeId="0" xr:uid="{1E9F517C-F4FB-4003-B3AD-9FE0D3A0BC74}">
      <text>
        <r>
          <rPr>
            <b/>
            <sz val="9"/>
            <color indexed="81"/>
            <rFont val="Tahoma"/>
            <family val="2"/>
          </rPr>
          <t>Number of smartphones in the population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0" shapeId="0" xr:uid="{BC9F7847-9B7F-4C1B-BDE8-72812977FD49}">
      <text>
        <r>
          <rPr>
            <sz val="9"/>
            <color indexed="81"/>
            <rFont val="Tahoma"/>
            <family val="2"/>
          </rPr>
          <t>Number of smartphones equiped with the accessory</t>
        </r>
      </text>
    </comment>
    <comment ref="B3" authorId="1" shapeId="0" xr:uid="{97D3A2F1-ED59-4923-BBE3-BDD207380CFE}">
      <text>
        <r>
          <rPr>
            <b/>
            <sz val="9"/>
            <color indexed="81"/>
            <rFont val="Tahoma"/>
            <family val="2"/>
          </rPr>
          <t xml:space="preserve">Population level compared with the reference population's level (base index = 100) </t>
        </r>
      </text>
    </comment>
    <comment ref="D3" authorId="1" shapeId="0" xr:uid="{3944B8A6-DF0A-4FED-A45F-51FB8860D9A1}">
      <text>
        <r>
          <rPr>
            <b/>
            <sz val="9"/>
            <color indexed="81"/>
            <rFont val="Tahoma"/>
            <family val="2"/>
          </rPr>
          <t>Population's change in % compared with the population of preceding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C4A2E75C-605D-45C2-8F53-0A0768EFD882}">
      <text>
        <r>
          <rPr>
            <b/>
            <sz val="9"/>
            <color indexed="81"/>
            <rFont val="Tahoma"/>
            <family val="2"/>
          </rPr>
          <t>Number of smartphones / population (in 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 xr:uid="{45E7E7DC-76EC-45F1-A205-3F9110413210}">
      <text>
        <r>
          <rPr>
            <b/>
            <sz val="9"/>
            <color indexed="81"/>
            <rFont val="Tahoma"/>
            <family val="2"/>
          </rPr>
          <t>Percentage of accessories relatively to the number of smartphones
= 100*equipment/penetration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Jean-Michel Didier</author>
    <author>jmd</author>
  </authors>
  <commentList>
    <comment ref="F2" authorId="0" shapeId="0" xr:uid="{ED3347A4-FA5C-4736-9AE3-8501BE96342D}">
      <text>
        <r>
          <rPr>
            <b/>
            <sz val="9"/>
            <color indexed="81"/>
            <rFont val="Tahoma"/>
            <family val="2"/>
          </rPr>
          <t>Number of smartphones in the population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0" shapeId="0" xr:uid="{86C0BD92-A5B9-40F0-B353-B69CD8B8F7A3}">
      <text>
        <r>
          <rPr>
            <sz val="9"/>
            <color indexed="81"/>
            <rFont val="Tahoma"/>
            <family val="2"/>
          </rPr>
          <t>Number of smartphones equiped with the accessory</t>
        </r>
      </text>
    </comment>
    <comment ref="B3" authorId="1" shapeId="0" xr:uid="{3060672C-C650-4BC7-873E-1A5AF24F3EF3}">
      <text>
        <r>
          <rPr>
            <b/>
            <sz val="9"/>
            <color indexed="81"/>
            <rFont val="Tahoma"/>
            <family val="2"/>
          </rPr>
          <t xml:space="preserve">Population level compared with the reference population's level (base index = 100) </t>
        </r>
      </text>
    </comment>
    <comment ref="D3" authorId="1" shapeId="0" xr:uid="{607A3DB0-08AB-4B4A-929E-18C128CF74CA}">
      <text>
        <r>
          <rPr>
            <b/>
            <sz val="9"/>
            <color indexed="81"/>
            <rFont val="Tahoma"/>
            <family val="2"/>
          </rPr>
          <t>Population's change in % compared with the population of preceding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D46BFAE0-79EF-4EAF-92B9-CA14E314B4C9}">
      <text>
        <r>
          <rPr>
            <b/>
            <sz val="9"/>
            <color indexed="81"/>
            <rFont val="Tahoma"/>
            <family val="2"/>
          </rPr>
          <t>Number of smartphones / population (in 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 xr:uid="{09EFFA2F-0031-4166-854A-58A643F9C3C4}">
      <text>
        <r>
          <rPr>
            <b/>
            <sz val="9"/>
            <color indexed="81"/>
            <rFont val="Tahoma"/>
            <family val="2"/>
          </rPr>
          <t>Percentage of accessories relatively to the number of smartphones
= 100*equipment/penetration</t>
        </r>
      </text>
    </comment>
  </commentList>
</comments>
</file>

<file path=xl/sharedStrings.xml><?xml version="1.0" encoding="utf-8"?>
<sst xmlns="http://schemas.openxmlformats.org/spreadsheetml/2006/main" count="76" uniqueCount="43">
  <si>
    <t>Royalties</t>
  </si>
  <si>
    <t>Inflation</t>
  </si>
  <si>
    <t>Année de référence</t>
  </si>
  <si>
    <t>Année Début Analyse</t>
  </si>
  <si>
    <t>Année Début Période</t>
  </si>
  <si>
    <t>Marché</t>
  </si>
  <si>
    <t>Année Fin Période</t>
  </si>
  <si>
    <t>#Ventes</t>
  </si>
  <si>
    <t>Année Fin  Analyse</t>
  </si>
  <si>
    <t>?</t>
  </si>
  <si>
    <t>Population</t>
  </si>
  <si>
    <t>PopulationRefer</t>
  </si>
  <si>
    <t>PopulationDebAnalyse</t>
  </si>
  <si>
    <t>PopulationFinAnalyse</t>
  </si>
  <si>
    <t>PrixVenteInitial</t>
  </si>
  <si>
    <t>PrixVenteIncrement</t>
  </si>
  <si>
    <t>Prix Unitaire</t>
  </si>
  <si>
    <t>Chiffre de Vente</t>
  </si>
  <si>
    <t>Modèle Prévisionnel de Ventes</t>
  </si>
  <si>
    <t>Comptage</t>
  </si>
  <si>
    <t>Pénétration</t>
  </si>
  <si>
    <t>Réf.</t>
  </si>
  <si>
    <t>TauxInflat</t>
  </si>
  <si>
    <t>IndicPopulDebPeriod</t>
  </si>
  <si>
    <t>IndicPopulFinPeriod</t>
  </si>
  <si>
    <t>TauxEquipDebPer</t>
  </si>
  <si>
    <t>TauxEquipFinPer</t>
  </si>
  <si>
    <t>Equipement</t>
  </si>
  <si>
    <t>Taux</t>
  </si>
  <si>
    <t>PenetrationRefer</t>
  </si>
  <si>
    <t>Incidence</t>
  </si>
  <si>
    <t>Montant</t>
  </si>
  <si>
    <t>SYLDAVIE</t>
  </si>
  <si>
    <t>TauxPenetrDebPeriod</t>
  </si>
  <si>
    <t>TauxPenetrFinPeriod</t>
  </si>
  <si>
    <t>Europe (UE)</t>
  </si>
  <si>
    <t>Index</t>
  </si>
  <si>
    <t>Count</t>
  </si>
  <si>
    <t>Change rate</t>
  </si>
  <si>
    <t>Year</t>
  </si>
  <si>
    <t>Rate</t>
  </si>
  <si>
    <t>SUM</t>
  </si>
  <si>
    <t>PRESENT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</si>
</sst>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[$$-409]#,##0.00"/>
    <numFmt numFmtId="165" formatCode="&quot;As of &quot;\ ####"/>
    <numFmt numFmtId="166" formatCode="&quot;Comptage&quot;"/>
    <numFmt numFmtId="167" formatCode="0.0000"/>
    <numFmt numFmtId="168" formatCode="0.00000000%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9" fontId="0" fillId="0" borderId="0" xfId="0" applyNumberFormat="1"/>
    <xf numFmtId="10" fontId="4" fillId="0" borderId="0" xfId="0" applyNumberFormat="1" applyFont="1"/>
    <xf numFmtId="10" fontId="5" fillId="0" borderId="0" xfId="0" applyNumberFormat="1" applyFont="1"/>
    <xf numFmtId="164" fontId="0" fillId="0" borderId="0" xfId="0" applyNumberFormat="1"/>
    <xf numFmtId="1" fontId="0" fillId="0" borderId="0" xfId="0" applyNumberFormat="1"/>
    <xf numFmtId="3" fontId="0" fillId="0" borderId="0" xfId="0" applyNumberFormat="1"/>
    <xf numFmtId="2" fontId="2" fillId="0" borderId="0" xfId="0" applyNumberFormat="1" applyFont="1"/>
    <xf numFmtId="0" fontId="0" fillId="0" borderId="0" xfId="0" applyAlignment="1"/>
    <xf numFmtId="10" fontId="3" fillId="0" borderId="0" xfId="0" applyNumberFormat="1" applyFont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2" borderId="3" xfId="0" applyNumberFormat="1" applyFill="1" applyBorder="1" applyAlignment="1" applyProtection="1">
      <alignment horizontal="center"/>
      <protection locked="0"/>
    </xf>
    <xf numFmtId="165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protection locked="0"/>
    </xf>
    <xf numFmtId="1" fontId="6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1" fontId="0" fillId="2" borderId="5" xfId="0" applyNumberFormat="1" applyFill="1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right" indent="1"/>
      <protection locked="0"/>
    </xf>
    <xf numFmtId="3" fontId="0" fillId="0" borderId="1" xfId="0" applyNumberFormat="1" applyBorder="1" applyAlignment="1" applyProtection="1">
      <alignment horizontal="right" indent="1"/>
      <protection locked="0"/>
    </xf>
    <xf numFmtId="0" fontId="0" fillId="0" borderId="0" xfId="0" applyFill="1" applyProtection="1">
      <protection locked="0"/>
    </xf>
    <xf numFmtId="0" fontId="6" fillId="0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167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 applyFill="1"/>
    <xf numFmtId="0" fontId="0" fillId="2" borderId="7" xfId="0" applyFill="1" applyBorder="1"/>
    <xf numFmtId="10" fontId="0" fillId="2" borderId="8" xfId="0" applyNumberFormat="1" applyFill="1" applyBorder="1" applyAlignment="1" applyProtection="1">
      <alignment horizontal="center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168" fontId="6" fillId="3" borderId="8" xfId="0" applyNumberFormat="1" applyFont="1" applyFill="1" applyBorder="1" applyAlignment="1" applyProtection="1">
      <alignment horizontal="center" vertical="center" wrapText="1"/>
      <protection locked="0"/>
    </xf>
    <xf numFmtId="166" fontId="6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8" xfId="0" applyFont="1" applyFill="1" applyBorder="1" applyAlignment="1" applyProtection="1">
      <alignment horizontal="center" vertical="center" wrapText="1"/>
      <protection locked="0"/>
    </xf>
    <xf numFmtId="10" fontId="6" fillId="4" borderId="8" xfId="0" applyNumberFormat="1" applyFont="1" applyFill="1" applyBorder="1" applyAlignment="1" applyProtection="1">
      <alignment horizontal="center" vertical="center" wrapText="1"/>
      <protection locked="0"/>
    </xf>
    <xf numFmtId="3" fontId="6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2" xfId="0" applyFont="1" applyFill="1" applyBorder="1" applyAlignment="1" applyProtection="1">
      <alignment horizontal="center" vertical="center" wrapText="1"/>
      <protection locked="0"/>
    </xf>
    <xf numFmtId="168" fontId="6" fillId="6" borderId="8" xfId="0" applyNumberFormat="1" applyFont="1" applyFill="1" applyBorder="1" applyAlignment="1" applyProtection="1">
      <alignment horizontal="center" vertical="center" wrapText="1"/>
      <protection locked="0"/>
    </xf>
    <xf numFmtId="3" fontId="0" fillId="6" borderId="8" xfId="0" applyNumberFormat="1" applyFill="1" applyBorder="1" applyAlignment="1" applyProtection="1">
      <alignment horizontal="right" indent="2"/>
      <protection locked="0"/>
    </xf>
    <xf numFmtId="168" fontId="0" fillId="6" borderId="8" xfId="0" applyNumberFormat="1" applyFill="1" applyBorder="1" applyAlignment="1" applyProtection="1">
      <alignment horizontal="right" indent="1"/>
      <protection locked="0"/>
    </xf>
    <xf numFmtId="1" fontId="0" fillId="2" borderId="0" xfId="0" applyNumberFormat="1" applyFill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right" indent="2"/>
      <protection locked="0"/>
    </xf>
    <xf numFmtId="10" fontId="0" fillId="0" borderId="0" xfId="0" applyNumberFormat="1" applyAlignment="1" applyProtection="1">
      <alignment horizontal="right" indent="1"/>
      <protection locked="0"/>
    </xf>
    <xf numFmtId="10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horizontal="right" indent="1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right" indent="2"/>
      <protection locked="0"/>
    </xf>
    <xf numFmtId="10" fontId="0" fillId="0" borderId="0" xfId="0" applyNumberFormat="1" applyBorder="1" applyAlignment="1" applyProtection="1">
      <alignment horizontal="right" indent="1"/>
      <protection locked="0"/>
    </xf>
    <xf numFmtId="10" fontId="6" fillId="6" borderId="0" xfId="0" applyNumberFormat="1" applyFont="1" applyFill="1" applyAlignment="1" applyProtection="1">
      <alignment horizontal="center" vertical="center" wrapText="1"/>
      <protection locked="0"/>
    </xf>
    <xf numFmtId="10" fontId="6" fillId="6" borderId="0" xfId="0" applyNumberFormat="1" applyFont="1" applyFill="1" applyBorder="1" applyAlignment="1" applyProtection="1">
      <alignment horizontal="center" vertical="center" wrapText="1"/>
      <protection locked="0"/>
    </xf>
    <xf numFmtId="1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0" fontId="0" fillId="7" borderId="7" xfId="0" applyFill="1" applyBorder="1"/>
    <xf numFmtId="3" fontId="6" fillId="7" borderId="8" xfId="0" applyNumberFormat="1" applyFont="1" applyFill="1" applyBorder="1" applyAlignment="1" applyProtection="1">
      <alignment horizontal="center" vertical="center" wrapText="1"/>
      <protection locked="0"/>
    </xf>
    <xf numFmtId="168" fontId="0" fillId="7" borderId="8" xfId="0" applyNumberFormat="1" applyFill="1" applyBorder="1" applyAlignment="1" applyProtection="1">
      <alignment horizontal="center"/>
      <protection locked="0"/>
    </xf>
    <xf numFmtId="4" fontId="0" fillId="7" borderId="0" xfId="0" applyNumberFormat="1" applyFill="1" applyAlignment="1" applyProtection="1">
      <alignment horizontal="center"/>
      <protection locked="0"/>
    </xf>
    <xf numFmtId="4" fontId="0" fillId="7" borderId="0" xfId="0" applyNumberFormat="1" applyFill="1" applyBorder="1" applyAlignment="1" applyProtection="1">
      <alignment horizontal="center"/>
      <protection locked="0"/>
    </xf>
    <xf numFmtId="0" fontId="6" fillId="5" borderId="2" xfId="0" applyFont="1" applyFill="1" applyBorder="1" applyAlignment="1" applyProtection="1">
      <alignment horizontal="center" vertical="center" wrapText="1"/>
      <protection locked="0"/>
    </xf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1" fontId="0" fillId="2" borderId="9" xfId="0" applyNumberFormat="1" applyFill="1" applyBorder="1" applyAlignment="1" applyProtection="1">
      <alignment horizontal="center"/>
      <protection locked="0"/>
    </xf>
    <xf numFmtId="4" fontId="0" fillId="7" borderId="9" xfId="0" applyNumberFormat="1" applyFill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10" fontId="0" fillId="0" borderId="9" xfId="0" applyNumberFormat="1" applyBorder="1" applyAlignment="1" applyProtection="1">
      <alignment horizontal="center"/>
      <protection locked="0"/>
    </xf>
    <xf numFmtId="10" fontId="6" fillId="6" borderId="9" xfId="0" applyNumberFormat="1" applyFont="1" applyFill="1" applyBorder="1" applyAlignment="1" applyProtection="1">
      <alignment horizontal="center" vertical="center" wrapText="1"/>
      <protection locked="0"/>
    </xf>
    <xf numFmtId="3" fontId="0" fillId="0" borderId="9" xfId="0" applyNumberFormat="1" applyBorder="1" applyAlignment="1" applyProtection="1">
      <alignment horizontal="right" indent="2"/>
      <protection locked="0"/>
    </xf>
    <xf numFmtId="10" fontId="0" fillId="0" borderId="9" xfId="0" applyNumberFormat="1" applyBorder="1" applyAlignment="1" applyProtection="1">
      <alignment horizontal="right" indent="1"/>
      <protection locked="0"/>
    </xf>
    <xf numFmtId="10" fontId="0" fillId="0" borderId="10" xfId="0" applyNumberFormat="1" applyBorder="1" applyAlignment="1" applyProtection="1">
      <alignment horizontal="right" indent="1"/>
      <protection locked="0"/>
    </xf>
    <xf numFmtId="10" fontId="6" fillId="4" borderId="1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9" xfId="0" applyNumberFormat="1" applyBorder="1" applyAlignment="1" applyProtection="1">
      <alignment horizontal="right" indent="1"/>
      <protection locked="0"/>
    </xf>
    <xf numFmtId="3" fontId="0" fillId="0" borderId="10" xfId="0" applyNumberFormat="1" applyBorder="1" applyAlignment="1" applyProtection="1">
      <alignment horizontal="right" indent="1"/>
      <protection locked="0"/>
    </xf>
    <xf numFmtId="0" fontId="6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/>
    <xf numFmtId="0" fontId="6" fillId="5" borderId="2" xfId="0" applyFont="1" applyFill="1" applyBorder="1" applyAlignment="1" applyProtection="1">
      <alignment horizontal="center" vertical="center" wrapText="1"/>
      <protection locked="0"/>
    </xf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0" fillId="0" borderId="9" xfId="0" applyFill="1" applyBorder="1"/>
    <xf numFmtId="1" fontId="0" fillId="2" borderId="4" xfId="0" applyNumberFormat="1" applyFill="1" applyBorder="1" applyAlignment="1" applyProtection="1">
      <alignment horizontal="center"/>
      <protection locked="0"/>
    </xf>
    <xf numFmtId="3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44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6" fillId="4" borderId="8" xfId="0" applyFont="1" applyFill="1" applyBorder="1" applyAlignment="1" applyProtection="1">
      <alignment horizontal="center" vertical="center" wrapText="1"/>
      <protection locked="0"/>
    </xf>
    <xf numFmtId="165" fontId="0" fillId="7" borderId="2" xfId="0" applyNumberForma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6" fillId="4" borderId="12" xfId="0" applyFont="1" applyFill="1" applyBorder="1" applyAlignment="1" applyProtection="1">
      <alignment horizontal="center" vertical="center" wrapText="1"/>
      <protection locked="0"/>
    </xf>
    <xf numFmtId="0" fontId="6" fillId="4" borderId="13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Revenu 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655336832895887"/>
          <c:y val="0.18097222222222226"/>
          <c:w val="0.8028910761154856"/>
          <c:h val="0.58139654418197728"/>
        </c:manualLayout>
      </c:layout>
      <c:lineChart>
        <c:grouping val="standard"/>
        <c:varyColors val="0"/>
        <c:ser>
          <c:idx val="0"/>
          <c:order val="0"/>
          <c:tx>
            <c:v>Revenu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Tables!$A$5:$A$24</c:f>
              <c:numCache>
                <c:formatCode>0</c:formatCode>
                <c:ptCount val="2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</c:numCache>
            </c:numRef>
          </c:cat>
          <c:val>
            <c:numRef>
              <c:f>Tables!$P$5:$P$24</c:f>
              <c:numCache>
                <c:formatCode>#,##0</c:formatCode>
                <c:ptCount val="20"/>
                <c:pt idx="0">
                  <c:v>575700000</c:v>
                </c:pt>
                <c:pt idx="1">
                  <c:v>12160020</c:v>
                </c:pt>
                <c:pt idx="2">
                  <c:v>12286650</c:v>
                </c:pt>
                <c:pt idx="3">
                  <c:v>12413340</c:v>
                </c:pt>
                <c:pt idx="4">
                  <c:v>28167480</c:v>
                </c:pt>
                <c:pt idx="5">
                  <c:v>16172190</c:v>
                </c:pt>
                <c:pt idx="6">
                  <c:v>16429920</c:v>
                </c:pt>
                <c:pt idx="7">
                  <c:v>16689600</c:v>
                </c:pt>
                <c:pt idx="8">
                  <c:v>16951170</c:v>
                </c:pt>
                <c:pt idx="9">
                  <c:v>17214630</c:v>
                </c:pt>
                <c:pt idx="10">
                  <c:v>11740575</c:v>
                </c:pt>
                <c:pt idx="11">
                  <c:v>11813725</c:v>
                </c:pt>
                <c:pt idx="12">
                  <c:v>11886875</c:v>
                </c:pt>
                <c:pt idx="13">
                  <c:v>11960025</c:v>
                </c:pt>
                <c:pt idx="14">
                  <c:v>12033175</c:v>
                </c:pt>
                <c:pt idx="15">
                  <c:v>12106325</c:v>
                </c:pt>
                <c:pt idx="16">
                  <c:v>12179475</c:v>
                </c:pt>
                <c:pt idx="17">
                  <c:v>12252625</c:v>
                </c:pt>
                <c:pt idx="18">
                  <c:v>12325775</c:v>
                </c:pt>
                <c:pt idx="19">
                  <c:v>14170200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02-410C-B270-46FAA04B9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6624"/>
        <c:axId val="570816952"/>
      </c:lineChart>
      <c:dateAx>
        <c:axId val="570816624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0816952"/>
        <c:crosses val="autoZero"/>
        <c:auto val="0"/>
        <c:lblOffset val="100"/>
        <c:baseTimeUnit val="days"/>
      </c:dateAx>
      <c:valAx>
        <c:axId val="5708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0816624"/>
        <c:crossesAt val="2025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Marché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Tables!$A$5:$A$24</c:f>
              <c:numCache>
                <c:formatCode>0</c:formatCode>
                <c:ptCount val="2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</c:numCache>
            </c:numRef>
          </c:cat>
          <c:val>
            <c:numRef>
              <c:f>Tables!$C$5:$C$24</c:f>
              <c:numCache>
                <c:formatCode>#,##0</c:formatCode>
                <c:ptCount val="20"/>
                <c:pt idx="0">
                  <c:v>380000000</c:v>
                </c:pt>
                <c:pt idx="1">
                  <c:v>380000000</c:v>
                </c:pt>
                <c:pt idx="2">
                  <c:v>380000000</c:v>
                </c:pt>
                <c:pt idx="3">
                  <c:v>380000000</c:v>
                </c:pt>
                <c:pt idx="4">
                  <c:v>389500000</c:v>
                </c:pt>
                <c:pt idx="5">
                  <c:v>391400000</c:v>
                </c:pt>
                <c:pt idx="6">
                  <c:v>393300000</c:v>
                </c:pt>
                <c:pt idx="7">
                  <c:v>395200000</c:v>
                </c:pt>
                <c:pt idx="8">
                  <c:v>397100000</c:v>
                </c:pt>
                <c:pt idx="9">
                  <c:v>399000000</c:v>
                </c:pt>
                <c:pt idx="10">
                  <c:v>400900000</c:v>
                </c:pt>
                <c:pt idx="11">
                  <c:v>402800000</c:v>
                </c:pt>
                <c:pt idx="12">
                  <c:v>404700000</c:v>
                </c:pt>
                <c:pt idx="13">
                  <c:v>406600000</c:v>
                </c:pt>
                <c:pt idx="14">
                  <c:v>408500000</c:v>
                </c:pt>
                <c:pt idx="15">
                  <c:v>410400000</c:v>
                </c:pt>
                <c:pt idx="16">
                  <c:v>412300000</c:v>
                </c:pt>
                <c:pt idx="17">
                  <c:v>414200000</c:v>
                </c:pt>
                <c:pt idx="18">
                  <c:v>416100000</c:v>
                </c:pt>
                <c:pt idx="19">
                  <c:v>418000000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6-42F4-95B8-D9FB25A27B53}"/>
            </c:ext>
          </c:extLst>
        </c:ser>
        <c:ser>
          <c:idx val="1"/>
          <c:order val="1"/>
          <c:tx>
            <c:v>Pénétration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Tables!$G$5:$G$24</c:f>
              <c:numCache>
                <c:formatCode>#,##0</c:formatCode>
                <c:ptCount val="20"/>
                <c:pt idx="0">
                  <c:v>191900000</c:v>
                </c:pt>
                <c:pt idx="1">
                  <c:v>193800000</c:v>
                </c:pt>
                <c:pt idx="2">
                  <c:v>195700000</c:v>
                </c:pt>
                <c:pt idx="3">
                  <c:v>197600000</c:v>
                </c:pt>
                <c:pt idx="4">
                  <c:v>204487500</c:v>
                </c:pt>
                <c:pt idx="5">
                  <c:v>207442000</c:v>
                </c:pt>
                <c:pt idx="6">
                  <c:v>210415500</c:v>
                </c:pt>
                <c:pt idx="7">
                  <c:v>213408000</c:v>
                </c:pt>
                <c:pt idx="8">
                  <c:v>216419500.00000003</c:v>
                </c:pt>
                <c:pt idx="9">
                  <c:v>219450000.00000003</c:v>
                </c:pt>
                <c:pt idx="10">
                  <c:v>222499500.00000003</c:v>
                </c:pt>
                <c:pt idx="11">
                  <c:v>225568000.00000003</c:v>
                </c:pt>
                <c:pt idx="12">
                  <c:v>228655499.99999997</c:v>
                </c:pt>
                <c:pt idx="13">
                  <c:v>231761999.99999997</c:v>
                </c:pt>
                <c:pt idx="14">
                  <c:v>234887499.99999997</c:v>
                </c:pt>
                <c:pt idx="15">
                  <c:v>238031999.99999997</c:v>
                </c:pt>
                <c:pt idx="16">
                  <c:v>241195500</c:v>
                </c:pt>
                <c:pt idx="17">
                  <c:v>244378000</c:v>
                </c:pt>
                <c:pt idx="18">
                  <c:v>247579500</c:v>
                </c:pt>
                <c:pt idx="19">
                  <c:v>250800000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46-42F4-95B8-D9FB25A27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06936"/>
        <c:axId val="436207264"/>
      </c:lineChart>
      <c:dateAx>
        <c:axId val="436206936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207264"/>
        <c:crosses val="autoZero"/>
        <c:auto val="0"/>
        <c:lblOffset val="100"/>
        <c:baseTimeUnit val="days"/>
      </c:dateAx>
      <c:valAx>
        <c:axId val="4362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2069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Ventes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Tables!$A$5:$A$24</c:f>
              <c:numCache>
                <c:formatCode>0</c:formatCode>
                <c:ptCount val="2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</c:numCache>
            </c:numRef>
          </c:cat>
          <c:val>
            <c:numRef>
              <c:f>Tables!$L$5:$L$24</c:f>
              <c:numCache>
                <c:formatCode>#,##0</c:formatCode>
                <c:ptCount val="20"/>
                <c:pt idx="0">
                  <c:v>19190000</c:v>
                </c:pt>
                <c:pt idx="1">
                  <c:v>405334</c:v>
                </c:pt>
                <c:pt idx="2">
                  <c:v>409555</c:v>
                </c:pt>
                <c:pt idx="3">
                  <c:v>413778</c:v>
                </c:pt>
                <c:pt idx="4">
                  <c:v>938916</c:v>
                </c:pt>
                <c:pt idx="5">
                  <c:v>539073</c:v>
                </c:pt>
                <c:pt idx="6">
                  <c:v>547664</c:v>
                </c:pt>
                <c:pt idx="7">
                  <c:v>556320</c:v>
                </c:pt>
                <c:pt idx="8">
                  <c:v>565039</c:v>
                </c:pt>
                <c:pt idx="9">
                  <c:v>573821</c:v>
                </c:pt>
                <c:pt idx="10">
                  <c:v>335445</c:v>
                </c:pt>
                <c:pt idx="11">
                  <c:v>337535</c:v>
                </c:pt>
                <c:pt idx="12">
                  <c:v>339625</c:v>
                </c:pt>
                <c:pt idx="13">
                  <c:v>341715</c:v>
                </c:pt>
                <c:pt idx="14">
                  <c:v>343805</c:v>
                </c:pt>
                <c:pt idx="15">
                  <c:v>345895</c:v>
                </c:pt>
                <c:pt idx="16">
                  <c:v>347985</c:v>
                </c:pt>
                <c:pt idx="17">
                  <c:v>350075</c:v>
                </c:pt>
                <c:pt idx="18">
                  <c:v>352165</c:v>
                </c:pt>
                <c:pt idx="19">
                  <c:v>354255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05-4D66-A71E-6647BE4EC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37848"/>
        <c:axId val="433443752"/>
      </c:lineChart>
      <c:dateAx>
        <c:axId val="433437848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3443752"/>
        <c:crosses val="autoZero"/>
        <c:auto val="0"/>
        <c:lblOffset val="100"/>
        <c:baseTimeUnit val="days"/>
      </c:dateAx>
      <c:valAx>
        <c:axId val="43344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3437848"/>
        <c:crossesAt val="2025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Performance commerciale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Equipement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Tables!$A$5:$A$24</c:f>
              <c:numCache>
                <c:formatCode>0</c:formatCode>
                <c:ptCount val="2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</c:numCache>
            </c:numRef>
          </c:cat>
          <c:val>
            <c:numRef>
              <c:f>Tables!$K$5:$K$24</c:f>
              <c:numCache>
                <c:formatCode>#,##0</c:formatCode>
                <c:ptCount val="20"/>
                <c:pt idx="0">
                  <c:v>19190000</c:v>
                </c:pt>
                <c:pt idx="1">
                  <c:v>19595334</c:v>
                </c:pt>
                <c:pt idx="2">
                  <c:v>20004889</c:v>
                </c:pt>
                <c:pt idx="3">
                  <c:v>20418667</c:v>
                </c:pt>
                <c:pt idx="4">
                  <c:v>21357583</c:v>
                </c:pt>
                <c:pt idx="5">
                  <c:v>21896656</c:v>
                </c:pt>
                <c:pt idx="6">
                  <c:v>22444320</c:v>
                </c:pt>
                <c:pt idx="7">
                  <c:v>23000640</c:v>
                </c:pt>
                <c:pt idx="8">
                  <c:v>23565679</c:v>
                </c:pt>
                <c:pt idx="9">
                  <c:v>24139500</c:v>
                </c:pt>
                <c:pt idx="10">
                  <c:v>24474945</c:v>
                </c:pt>
                <c:pt idx="11">
                  <c:v>24812480</c:v>
                </c:pt>
                <c:pt idx="12">
                  <c:v>25152105</c:v>
                </c:pt>
                <c:pt idx="13">
                  <c:v>25493820</c:v>
                </c:pt>
                <c:pt idx="14">
                  <c:v>25837625</c:v>
                </c:pt>
                <c:pt idx="15">
                  <c:v>26183520</c:v>
                </c:pt>
                <c:pt idx="16">
                  <c:v>26531505</c:v>
                </c:pt>
                <c:pt idx="17">
                  <c:v>26881580</c:v>
                </c:pt>
                <c:pt idx="18">
                  <c:v>27233745</c:v>
                </c:pt>
                <c:pt idx="19">
                  <c:v>27588000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7B-4393-AC16-8A2454AC9834}"/>
            </c:ext>
          </c:extLst>
        </c:ser>
        <c:ser>
          <c:idx val="2"/>
          <c:order val="1"/>
          <c:tx>
            <c:v>Ventes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Tables!$L$5:$L$24</c:f>
              <c:numCache>
                <c:formatCode>#,##0</c:formatCode>
                <c:ptCount val="20"/>
                <c:pt idx="0">
                  <c:v>19190000</c:v>
                </c:pt>
                <c:pt idx="1">
                  <c:v>405334</c:v>
                </c:pt>
                <c:pt idx="2">
                  <c:v>409555</c:v>
                </c:pt>
                <c:pt idx="3">
                  <c:v>413778</c:v>
                </c:pt>
                <c:pt idx="4">
                  <c:v>938916</c:v>
                </c:pt>
                <c:pt idx="5">
                  <c:v>539073</c:v>
                </c:pt>
                <c:pt idx="6">
                  <c:v>547664</c:v>
                </c:pt>
                <c:pt idx="7">
                  <c:v>556320</c:v>
                </c:pt>
                <c:pt idx="8">
                  <c:v>565039</c:v>
                </c:pt>
                <c:pt idx="9">
                  <c:v>573821</c:v>
                </c:pt>
                <c:pt idx="10">
                  <c:v>335445</c:v>
                </c:pt>
                <c:pt idx="11">
                  <c:v>337535</c:v>
                </c:pt>
                <c:pt idx="12">
                  <c:v>339625</c:v>
                </c:pt>
                <c:pt idx="13">
                  <c:v>341715</c:v>
                </c:pt>
                <c:pt idx="14">
                  <c:v>343805</c:v>
                </c:pt>
                <c:pt idx="15">
                  <c:v>345895</c:v>
                </c:pt>
                <c:pt idx="16">
                  <c:v>347985</c:v>
                </c:pt>
                <c:pt idx="17">
                  <c:v>350075</c:v>
                </c:pt>
                <c:pt idx="18">
                  <c:v>352165</c:v>
                </c:pt>
                <c:pt idx="19">
                  <c:v>354255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F-4329-85CA-A89A24581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59520"/>
        <c:axId val="431559848"/>
      </c:lineChart>
      <c:catAx>
        <c:axId val="43155952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1559848"/>
        <c:crosses val="autoZero"/>
        <c:auto val="1"/>
        <c:lblAlgn val="ctr"/>
        <c:lblOffset val="100"/>
        <c:noMultiLvlLbl val="0"/>
      </c:catAx>
      <c:valAx>
        <c:axId val="4315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1559520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14</xdr:row>
      <xdr:rowOff>171450</xdr:rowOff>
    </xdr:from>
    <xdr:to>
      <xdr:col>13</xdr:col>
      <xdr:colOff>28575</xdr:colOff>
      <xdr:row>29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19049</xdr:rowOff>
    </xdr:from>
    <xdr:to>
      <xdr:col>6</xdr:col>
      <xdr:colOff>9525</xdr:colOff>
      <xdr:row>15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761999</xdr:colOff>
      <xdr:row>0</xdr:row>
      <xdr:rowOff>0</xdr:rowOff>
    </xdr:from>
    <xdr:to>
      <xdr:col>13</xdr:col>
      <xdr:colOff>9524</xdr:colOff>
      <xdr:row>14</xdr:row>
      <xdr:rowOff>171450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14</xdr:row>
      <xdr:rowOff>171450</xdr:rowOff>
    </xdr:from>
    <xdr:to>
      <xdr:col>6</xdr:col>
      <xdr:colOff>9525</xdr:colOff>
      <xdr:row>29</xdr:row>
      <xdr:rowOff>57150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20"/>
  <sheetViews>
    <sheetView showRowColHeaders="0" workbookViewId="0">
      <selection activeCell="B5" sqref="B5"/>
    </sheetView>
  </sheetViews>
  <sheetFormatPr defaultColWidth="9.140625" defaultRowHeight="15" x14ac:dyDescent="0.25"/>
  <cols>
    <col min="1" max="1" width="21" customWidth="1"/>
    <col min="2" max="2" width="14" customWidth="1"/>
    <col min="3" max="3" width="17.7109375" customWidth="1"/>
    <col min="4" max="4" width="13.42578125" customWidth="1"/>
  </cols>
  <sheetData>
    <row r="1" spans="1:11" x14ac:dyDescent="0.25">
      <c r="A1" t="s">
        <v>5</v>
      </c>
      <c r="B1" s="8" t="s">
        <v>32</v>
      </c>
      <c r="C1" s="8"/>
      <c r="D1" s="8"/>
    </row>
    <row r="2" spans="1:11" x14ac:dyDescent="0.25">
      <c r="A2" t="s">
        <v>2</v>
      </c>
      <c r="B2">
        <v>2024</v>
      </c>
      <c r="H2" s="6"/>
    </row>
    <row r="3" spans="1:11" x14ac:dyDescent="0.25">
      <c r="A3" t="s">
        <v>3</v>
      </c>
      <c r="B3">
        <v>2025</v>
      </c>
    </row>
    <row r="4" spans="1:11" x14ac:dyDescent="0.25">
      <c r="A4" t="s">
        <v>8</v>
      </c>
      <c r="B4">
        <v>2044</v>
      </c>
    </row>
    <row r="5" spans="1:11" x14ac:dyDescent="0.25">
      <c r="A5" t="s">
        <v>11</v>
      </c>
      <c r="B5" s="6">
        <v>380000000</v>
      </c>
      <c r="D5" s="5"/>
    </row>
    <row r="6" spans="1:11" x14ac:dyDescent="0.25">
      <c r="A6" t="s">
        <v>29</v>
      </c>
      <c r="B6" s="6">
        <v>190000000</v>
      </c>
      <c r="D6" s="5"/>
    </row>
    <row r="7" spans="1:11" x14ac:dyDescent="0.25">
      <c r="A7" t="s">
        <v>12</v>
      </c>
      <c r="B7" s="6"/>
    </row>
    <row r="8" spans="1:11" x14ac:dyDescent="0.25">
      <c r="A8" t="s">
        <v>13</v>
      </c>
      <c r="B8" s="6"/>
      <c r="K8" s="1"/>
    </row>
    <row r="9" spans="1:11" x14ac:dyDescent="0.25">
      <c r="A9" t="s">
        <v>14</v>
      </c>
      <c r="B9" s="4">
        <v>30</v>
      </c>
    </row>
    <row r="10" spans="1:11" x14ac:dyDescent="0.25">
      <c r="A10" t="s">
        <v>15</v>
      </c>
      <c r="B10" s="4">
        <v>5</v>
      </c>
    </row>
    <row r="11" spans="1:11" x14ac:dyDescent="0.25">
      <c r="A11" t="s">
        <v>22</v>
      </c>
      <c r="B11" s="2">
        <v>1.4999999999999999E-2</v>
      </c>
      <c r="K11" s="1"/>
    </row>
    <row r="12" spans="1:11" x14ac:dyDescent="0.25">
      <c r="A12" t="s">
        <v>0</v>
      </c>
      <c r="B12" s="3">
        <v>0</v>
      </c>
    </row>
    <row r="13" spans="1:11" x14ac:dyDescent="0.25">
      <c r="A13" t="s">
        <v>4</v>
      </c>
      <c r="B13">
        <v>2028</v>
      </c>
    </row>
    <row r="14" spans="1:11" x14ac:dyDescent="0.25">
      <c r="A14" t="s">
        <v>6</v>
      </c>
      <c r="B14" t="s">
        <v>9</v>
      </c>
    </row>
    <row r="15" spans="1:11" x14ac:dyDescent="0.25">
      <c r="A15" t="s">
        <v>23</v>
      </c>
      <c r="B15" s="7">
        <v>100</v>
      </c>
    </row>
    <row r="16" spans="1:11" x14ac:dyDescent="0.25">
      <c r="A16" t="s">
        <v>24</v>
      </c>
      <c r="B16" s="7">
        <v>100</v>
      </c>
    </row>
    <row r="17" spans="1:4" x14ac:dyDescent="0.25">
      <c r="A17" t="s">
        <v>33</v>
      </c>
      <c r="B17" s="7" t="s">
        <v>9</v>
      </c>
    </row>
    <row r="18" spans="1:4" x14ac:dyDescent="0.25">
      <c r="A18" t="s">
        <v>34</v>
      </c>
      <c r="B18" s="7" t="s">
        <v>9</v>
      </c>
    </row>
    <row r="19" spans="1:4" x14ac:dyDescent="0.25">
      <c r="A19" t="s">
        <v>25</v>
      </c>
      <c r="B19" s="9" t="s">
        <v>9</v>
      </c>
      <c r="D19" s="1"/>
    </row>
    <row r="20" spans="1:4" x14ac:dyDescent="0.25">
      <c r="A20" t="s">
        <v>26</v>
      </c>
      <c r="B20" s="9" t="s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24"/>
  <sheetViews>
    <sheetView showRowColHeaders="0" zoomScaleNormal="100" workbookViewId="0">
      <pane ySplit="4" topLeftCell="A5" activePane="bottomLeft" state="frozen"/>
      <selection pane="bottomLeft" activeCell="C4" sqref="C4"/>
    </sheetView>
  </sheetViews>
  <sheetFormatPr defaultColWidth="16.7109375" defaultRowHeight="15" x14ac:dyDescent="0.25"/>
  <cols>
    <col min="1" max="1" width="7.42578125" customWidth="1"/>
    <col min="2" max="2" width="15.42578125" customWidth="1"/>
    <col min="3" max="3" width="16.28515625" customWidth="1"/>
    <col min="4" max="4" width="18.28515625" customWidth="1"/>
    <col min="5" max="5" width="7.5703125" customWidth="1"/>
    <col min="6" max="6" width="15.140625" customWidth="1"/>
    <col min="7" max="7" width="16.28515625" customWidth="1"/>
    <col min="8" max="8" width="16.42578125" customWidth="1"/>
    <col min="9" max="9" width="8.42578125" customWidth="1"/>
    <col min="10" max="10" width="15.7109375" customWidth="1"/>
    <col min="11" max="11" width="11.42578125" customWidth="1"/>
    <col min="12" max="13" width="11.85546875" customWidth="1"/>
    <col min="14" max="14" width="10" customWidth="1"/>
    <col min="15" max="15" width="10.7109375" customWidth="1"/>
    <col min="17" max="17" width="16.5703125" customWidth="1"/>
    <col min="18" max="18" width="17.7109375" customWidth="1"/>
    <col min="20" max="20" width="3" customWidth="1"/>
    <col min="21" max="21" width="14.5703125" customWidth="1"/>
    <col min="22" max="22" width="14.85546875" customWidth="1"/>
  </cols>
  <sheetData>
    <row r="1" spans="1:24" x14ac:dyDescent="0.25">
      <c r="A1" s="10" t="s">
        <v>18</v>
      </c>
      <c r="B1" s="10"/>
      <c r="C1" s="10"/>
      <c r="D1" s="10"/>
      <c r="E1" s="10"/>
      <c r="F1" s="11" t="s">
        <v>5</v>
      </c>
      <c r="G1" s="10" t="s">
        <v>35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24" ht="30" customHeight="1" x14ac:dyDescent="0.25">
      <c r="A2" s="12" t="s">
        <v>21</v>
      </c>
      <c r="B2" s="89" t="s">
        <v>10</v>
      </c>
      <c r="C2" s="89"/>
      <c r="D2" s="89"/>
      <c r="E2" s="13"/>
      <c r="F2" s="90" t="s">
        <v>20</v>
      </c>
      <c r="G2" s="90"/>
      <c r="H2" s="90"/>
      <c r="I2" s="14"/>
      <c r="J2" s="91" t="s">
        <v>27</v>
      </c>
      <c r="K2" s="91"/>
      <c r="L2" s="85" t="s">
        <v>7</v>
      </c>
      <c r="M2" s="85"/>
      <c r="N2" s="86" t="s">
        <v>17</v>
      </c>
      <c r="O2" s="86"/>
      <c r="P2" s="86"/>
      <c r="Q2" s="23"/>
      <c r="R2" s="23"/>
      <c r="S2" s="23"/>
    </row>
    <row r="3" spans="1:24" ht="28.5" customHeight="1" x14ac:dyDescent="0.25">
      <c r="A3" s="15" t="s">
        <v>39</v>
      </c>
      <c r="B3" s="55" t="s">
        <v>36</v>
      </c>
      <c r="C3" s="56" t="s">
        <v>37</v>
      </c>
      <c r="D3" s="56" t="s">
        <v>38</v>
      </c>
      <c r="E3" s="16" t="s">
        <v>39</v>
      </c>
      <c r="F3" s="38" t="s">
        <v>40</v>
      </c>
      <c r="G3" s="38" t="s">
        <v>37</v>
      </c>
      <c r="H3" s="38" t="s">
        <v>38</v>
      </c>
      <c r="I3" s="17" t="s">
        <v>39</v>
      </c>
      <c r="J3" s="80" t="s">
        <v>28</v>
      </c>
      <c r="K3" s="27">
        <v>0</v>
      </c>
      <c r="L3" s="78" t="s">
        <v>19</v>
      </c>
      <c r="M3" s="78" t="s">
        <v>30</v>
      </c>
      <c r="N3" s="79" t="s">
        <v>1</v>
      </c>
      <c r="O3" s="79" t="s">
        <v>16</v>
      </c>
      <c r="P3" s="87" t="s">
        <v>31</v>
      </c>
      <c r="Q3" s="24"/>
      <c r="R3" s="24"/>
      <c r="S3" s="24"/>
    </row>
    <row r="4" spans="1:24" ht="15.75" thickBot="1" x14ac:dyDescent="0.3">
      <c r="A4" s="30">
        <f>AnneeRefer</f>
        <v>2024</v>
      </c>
      <c r="B4" s="57">
        <v>100</v>
      </c>
      <c r="C4" s="58">
        <f>PopulationRefer</f>
        <v>380000000</v>
      </c>
      <c r="D4" s="59">
        <f>(C4-PopulRefCount)/PopulRefCount</f>
        <v>0</v>
      </c>
      <c r="E4" s="31"/>
      <c r="F4" s="39">
        <f>PenetRefCount/PopulRefCount</f>
        <v>0.5</v>
      </c>
      <c r="G4" s="40">
        <f>PenetrationRefer</f>
        <v>190000000</v>
      </c>
      <c r="H4" s="41">
        <f>($G4-PenetRefCount)/PenetRefCount</f>
        <v>0</v>
      </c>
      <c r="I4" s="32"/>
      <c r="J4" s="33">
        <f>0</f>
        <v>0</v>
      </c>
      <c r="K4" s="34"/>
      <c r="L4" s="35"/>
      <c r="M4" s="35"/>
      <c r="N4" s="36">
        <f>TauxInflat</f>
        <v>1.4999999999999999E-2</v>
      </c>
      <c r="O4" s="37">
        <f>PrixVenteInitial</f>
        <v>30</v>
      </c>
      <c r="P4" s="88"/>
      <c r="Q4" s="25"/>
      <c r="R4" s="26"/>
      <c r="S4" s="25"/>
    </row>
    <row r="5" spans="1:24" ht="15.75" thickTop="1" x14ac:dyDescent="0.25">
      <c r="A5" s="42">
        <v>2025</v>
      </c>
      <c r="B5" s="60">
        <v>100</v>
      </c>
      <c r="C5" s="20">
        <f t="shared" ref="C5:C24" si="0">B5*PopulRefCount/B$4</f>
        <v>380000000</v>
      </c>
      <c r="D5" s="43">
        <f t="shared" ref="D5:D24" si="1">(C5-C4)/C4</f>
        <v>0</v>
      </c>
      <c r="E5" s="18">
        <v>2025</v>
      </c>
      <c r="F5" s="53">
        <v>0.505</v>
      </c>
      <c r="G5" s="44">
        <f t="shared" ref="G5:G24" si="2">C5*F5</f>
        <v>191900000</v>
      </c>
      <c r="H5" s="45">
        <f t="shared" ref="H5:H24" si="3">($G5-$G4)/$G4</f>
        <v>0.01</v>
      </c>
      <c r="I5" s="18">
        <v>2025</v>
      </c>
      <c r="J5" s="43">
        <v>0.10000000149011612</v>
      </c>
      <c r="K5" s="19">
        <f t="shared" ref="K5:K24" si="4">ROUND($G5*$J5,0)</f>
        <v>19190000</v>
      </c>
      <c r="L5" s="20">
        <f>IF($K5-SUM($L$4:$L4)&gt;0,$K5-SUM($L$4:$L4),0)</f>
        <v>19190000</v>
      </c>
      <c r="M5" s="21">
        <f>L5/G5</f>
        <v>0.1</v>
      </c>
      <c r="N5" s="46">
        <f t="shared" ref="N5" si="5">POWER(1+N$4,A5-RefYear)</f>
        <v>1.0149999999999999</v>
      </c>
      <c r="O5" s="47">
        <f>IF($O$4*N5-O4&gt;PrixVenteIncrement,Tables!O4+PrixVenteIncrement,Tables!O4)</f>
        <v>30</v>
      </c>
      <c r="P5" s="22">
        <f>L5*$O5</f>
        <v>575700000</v>
      </c>
      <c r="Q5" s="83">
        <f>Q4+P5</f>
        <v>575700000</v>
      </c>
      <c r="R5" s="84">
        <f>XNPV(2.5,P$5:P5,A$5:A5)</f>
        <v>575700000</v>
      </c>
      <c r="S5" s="25"/>
      <c r="V5" s="22"/>
      <c r="W5" s="22"/>
      <c r="X5" s="22"/>
    </row>
    <row r="6" spans="1:24" x14ac:dyDescent="0.25">
      <c r="A6" s="48">
        <v>2026</v>
      </c>
      <c r="B6" s="61">
        <v>100</v>
      </c>
      <c r="C6" s="49">
        <f t="shared" si="0"/>
        <v>380000000</v>
      </c>
      <c r="D6" s="50">
        <f t="shared" si="1"/>
        <v>0</v>
      </c>
      <c r="E6" s="18">
        <v>2026</v>
      </c>
      <c r="F6" s="54">
        <v>0.51</v>
      </c>
      <c r="G6" s="51">
        <f t="shared" si="2"/>
        <v>193800000</v>
      </c>
      <c r="H6" s="52">
        <f t="shared" si="3"/>
        <v>9.9009900990099011E-3</v>
      </c>
      <c r="I6" s="18">
        <v>2026</v>
      </c>
      <c r="J6" s="50">
        <v>0.10111111236943139</v>
      </c>
      <c r="K6" s="49">
        <f t="shared" si="4"/>
        <v>19595334</v>
      </c>
      <c r="L6" s="20">
        <f>IF($K6-SUM($L$4:$L5)&gt;0,$K6-SUM($L$4:$L5),0)</f>
        <v>405334</v>
      </c>
      <c r="M6" s="21">
        <f t="shared" ref="M6:M24" si="6">L6/G6</f>
        <v>2.0915067079463365E-3</v>
      </c>
      <c r="N6" s="46">
        <f t="shared" ref="N6:N24" si="7">POWER(1+N$4,A6-RefYear)</f>
        <v>1.0302249999999997</v>
      </c>
      <c r="O6" s="47">
        <f>IF($O$4*N6-O5&gt;PrixVenteIncrement,Tables!O5+PrixVenteIncrement,Tables!O5)</f>
        <v>30</v>
      </c>
      <c r="P6" s="22">
        <f t="shared" ref="P6:P24" si="8">L6*$O6</f>
        <v>12160020</v>
      </c>
      <c r="Q6" s="83">
        <f t="shared" ref="Q6:Q24" si="9">Q5+P6</f>
        <v>587860020</v>
      </c>
      <c r="R6" s="84">
        <f>XNPV(2.5,P$5:P6,A$5:A6)</f>
        <v>587818355.58902013</v>
      </c>
      <c r="S6" s="25"/>
    </row>
    <row r="7" spans="1:24" x14ac:dyDescent="0.25">
      <c r="A7" s="65">
        <v>2027</v>
      </c>
      <c r="B7" s="66">
        <v>100</v>
      </c>
      <c r="C7" s="67">
        <f t="shared" si="0"/>
        <v>380000000</v>
      </c>
      <c r="D7" s="68">
        <f t="shared" si="1"/>
        <v>0</v>
      </c>
      <c r="E7" s="82">
        <v>2027</v>
      </c>
      <c r="F7" s="69">
        <v>0.51500000000000001</v>
      </c>
      <c r="G7" s="70">
        <f t="shared" si="2"/>
        <v>195700000</v>
      </c>
      <c r="H7" s="71">
        <f t="shared" si="3"/>
        <v>9.8039215686274508E-3</v>
      </c>
      <c r="I7" s="82">
        <v>2027</v>
      </c>
      <c r="J7" s="68">
        <v>0.10222222324874666</v>
      </c>
      <c r="K7" s="67">
        <f t="shared" si="4"/>
        <v>20004889</v>
      </c>
      <c r="L7" s="20">
        <f>IF($K7-SUM($L$4:$L6)&gt;0,$K7-SUM($L$4:$L6),0)</f>
        <v>409555</v>
      </c>
      <c r="M7" s="21">
        <f t="shared" si="6"/>
        <v>2.0927695452222792E-3</v>
      </c>
      <c r="N7" s="46">
        <f t="shared" si="7"/>
        <v>1.0456783749999996</v>
      </c>
      <c r="O7" s="47">
        <f>IF($O$4*N7-O6&gt;PrixVenteIncrement,Tables!O6+PrixVenteIncrement,Tables!O6)</f>
        <v>30</v>
      </c>
      <c r="P7" s="22">
        <f t="shared" si="8"/>
        <v>12286650</v>
      </c>
      <c r="Q7" s="83">
        <f t="shared" si="9"/>
        <v>600146670</v>
      </c>
      <c r="R7" s="84">
        <f>XNPV(2.5,P$5:P7,A$5:A7)</f>
        <v>600020953.25440884</v>
      </c>
      <c r="S7" s="76"/>
      <c r="T7" s="77"/>
    </row>
    <row r="8" spans="1:24" x14ac:dyDescent="0.25">
      <c r="A8" s="48">
        <v>2028</v>
      </c>
      <c r="B8" s="61">
        <v>100</v>
      </c>
      <c r="C8" s="49">
        <f t="shared" si="0"/>
        <v>380000000</v>
      </c>
      <c r="D8" s="50">
        <f t="shared" si="1"/>
        <v>0</v>
      </c>
      <c r="E8" s="18">
        <v>2028</v>
      </c>
      <c r="F8" s="54">
        <v>0.52</v>
      </c>
      <c r="G8" s="51">
        <f t="shared" si="2"/>
        <v>197600000</v>
      </c>
      <c r="H8" s="52">
        <f t="shared" si="3"/>
        <v>9.7087378640776691E-3</v>
      </c>
      <c r="I8" s="18">
        <v>2028</v>
      </c>
      <c r="J8" s="50">
        <v>0.10333333412806193</v>
      </c>
      <c r="K8" s="49">
        <f t="shared" si="4"/>
        <v>20418667</v>
      </c>
      <c r="L8" s="20">
        <f>IF($K8-SUM($L$4:$L7)&gt;0,$K8-SUM($L$4:$L7),0)</f>
        <v>413778</v>
      </c>
      <c r="M8" s="21">
        <f t="shared" si="6"/>
        <v>2.0940182186234817E-3</v>
      </c>
      <c r="N8" s="46">
        <f t="shared" si="7"/>
        <v>1.0613635506249994</v>
      </c>
      <c r="O8" s="47">
        <f>IF($O$4*N8-O7&gt;PrixVenteIncrement,Tables!O7+PrixVenteIncrement,Tables!O7)</f>
        <v>30</v>
      </c>
      <c r="P8" s="22">
        <f t="shared" si="8"/>
        <v>12413340</v>
      </c>
      <c r="Q8" s="83">
        <f t="shared" si="9"/>
        <v>612560010</v>
      </c>
      <c r="R8" s="84">
        <f>XNPV(2.5,P$5:P8,A$5:A8)</f>
        <v>612307132.82940793</v>
      </c>
      <c r="S8" s="25"/>
    </row>
    <row r="9" spans="1:24" x14ac:dyDescent="0.25">
      <c r="A9" s="42">
        <v>2029</v>
      </c>
      <c r="B9" s="61">
        <v>102.5</v>
      </c>
      <c r="C9" s="49">
        <f t="shared" si="0"/>
        <v>389500000</v>
      </c>
      <c r="D9" s="50">
        <f t="shared" si="1"/>
        <v>2.5000000000000001E-2</v>
      </c>
      <c r="E9" s="18">
        <v>2029</v>
      </c>
      <c r="F9" s="54">
        <v>0.52500000000000002</v>
      </c>
      <c r="G9" s="51">
        <f t="shared" si="2"/>
        <v>204487500</v>
      </c>
      <c r="H9" s="52">
        <f t="shared" si="3"/>
        <v>3.4855769230769232E-2</v>
      </c>
      <c r="I9" s="18">
        <v>2029</v>
      </c>
      <c r="J9" s="50">
        <v>0.10444444500737721</v>
      </c>
      <c r="K9" s="49">
        <f t="shared" si="4"/>
        <v>21357583</v>
      </c>
      <c r="L9" s="20">
        <f>IF($K9-SUM($L$4:$L8)&gt;0,$K9-SUM($L$4:$L8),0)</f>
        <v>938916</v>
      </c>
      <c r="M9" s="21">
        <f t="shared" si="6"/>
        <v>4.5915569411333207E-3</v>
      </c>
      <c r="N9" s="46">
        <f t="shared" si="7"/>
        <v>1.0772840038843743</v>
      </c>
      <c r="O9" s="47">
        <f>IF($O$4*N9-O8&gt;PrixVenteIncrement,Tables!O8+PrixVenteIncrement,Tables!O8)</f>
        <v>30</v>
      </c>
      <c r="P9" s="22">
        <f t="shared" si="8"/>
        <v>28167480</v>
      </c>
      <c r="Q9" s="83">
        <f t="shared" si="9"/>
        <v>640727490</v>
      </c>
      <c r="R9" s="84">
        <f>XNPV(2.5,P$5:P9,A$5:A9)</f>
        <v>640090546.49128902</v>
      </c>
      <c r="S9" s="25"/>
    </row>
    <row r="10" spans="1:24" x14ac:dyDescent="0.25">
      <c r="A10" s="65">
        <v>2030</v>
      </c>
      <c r="B10" s="66">
        <v>103</v>
      </c>
      <c r="C10" s="67">
        <f t="shared" si="0"/>
        <v>391400000</v>
      </c>
      <c r="D10" s="68">
        <f t="shared" si="1"/>
        <v>4.8780487804878049E-3</v>
      </c>
      <c r="E10" s="82">
        <v>2030</v>
      </c>
      <c r="F10" s="69">
        <v>0.53</v>
      </c>
      <c r="G10" s="70">
        <f t="shared" si="2"/>
        <v>207442000</v>
      </c>
      <c r="H10" s="71">
        <f t="shared" si="3"/>
        <v>1.4448315911730547E-2</v>
      </c>
      <c r="I10" s="82">
        <v>2030</v>
      </c>
      <c r="J10" s="68">
        <v>0.10555555588669246</v>
      </c>
      <c r="K10" s="67">
        <f t="shared" si="4"/>
        <v>21896656</v>
      </c>
      <c r="L10" s="20">
        <f>IF($K10-SUM($L$4:$L9)&gt;0,$K10-SUM($L$4:$L9),0)</f>
        <v>539073</v>
      </c>
      <c r="M10" s="21">
        <f t="shared" si="6"/>
        <v>2.5986685434964954E-3</v>
      </c>
      <c r="N10" s="46">
        <f t="shared" si="7"/>
        <v>1.0934432639426397</v>
      </c>
      <c r="O10" s="47">
        <f>IF($O$4*N10-O9&gt;PrixVenteIncrement,Tables!O9+PrixVenteIncrement,Tables!O9)</f>
        <v>30</v>
      </c>
      <c r="P10" s="22">
        <f t="shared" si="8"/>
        <v>16172190</v>
      </c>
      <c r="Q10" s="83">
        <f t="shared" si="9"/>
        <v>656899680</v>
      </c>
      <c r="R10" s="84">
        <f>XNPV(2.5,P$5:P10,A$5:A10)</f>
        <v>655987571.15832543</v>
      </c>
      <c r="S10" s="76"/>
      <c r="T10" s="77"/>
    </row>
    <row r="11" spans="1:24" x14ac:dyDescent="0.25">
      <c r="A11" s="42">
        <v>2031</v>
      </c>
      <c r="B11" s="61">
        <v>103.5</v>
      </c>
      <c r="C11" s="49">
        <f t="shared" si="0"/>
        <v>393300000</v>
      </c>
      <c r="D11" s="50">
        <f t="shared" si="1"/>
        <v>4.8543689320388345E-3</v>
      </c>
      <c r="E11" s="18">
        <v>2031</v>
      </c>
      <c r="F11" s="54">
        <v>0.53500000000000003</v>
      </c>
      <c r="G11" s="51">
        <f t="shared" si="2"/>
        <v>210415500</v>
      </c>
      <c r="H11" s="52">
        <f t="shared" si="3"/>
        <v>1.4334127129510899E-2</v>
      </c>
      <c r="I11" s="18">
        <v>2031</v>
      </c>
      <c r="J11" s="50">
        <v>0.10666666676600774</v>
      </c>
      <c r="K11" s="49">
        <f t="shared" si="4"/>
        <v>22444320</v>
      </c>
      <c r="L11" s="20">
        <f>IF($K11-SUM($L$4:$L10)&gt;0,$K11-SUM($L$4:$L10),0)</f>
        <v>547664</v>
      </c>
      <c r="M11" s="21">
        <f t="shared" si="6"/>
        <v>2.6027740351827694E-3</v>
      </c>
      <c r="N11" s="46">
        <f t="shared" si="7"/>
        <v>1.1098449129017791</v>
      </c>
      <c r="O11" s="47">
        <f>IF($O$4*N11-O10&gt;PrixVenteIncrement,Tables!O10+PrixVenteIncrement,Tables!O10)</f>
        <v>30</v>
      </c>
      <c r="P11" s="22">
        <f t="shared" si="8"/>
        <v>16429920</v>
      </c>
      <c r="Q11" s="83">
        <f t="shared" si="9"/>
        <v>673329600</v>
      </c>
      <c r="R11" s="84">
        <f>XNPV(2.5,P$5:P11,A$5:A11)</f>
        <v>672082603.9000802</v>
      </c>
      <c r="S11" s="25"/>
    </row>
    <row r="12" spans="1:24" x14ac:dyDescent="0.25">
      <c r="A12" s="48">
        <v>2032</v>
      </c>
      <c r="B12" s="61">
        <v>104</v>
      </c>
      <c r="C12" s="49">
        <f t="shared" si="0"/>
        <v>395200000</v>
      </c>
      <c r="D12" s="50">
        <f t="shared" si="1"/>
        <v>4.830917874396135E-3</v>
      </c>
      <c r="E12" s="18">
        <v>2032</v>
      </c>
      <c r="F12" s="54">
        <v>0.54</v>
      </c>
      <c r="G12" s="51">
        <f t="shared" si="2"/>
        <v>213408000</v>
      </c>
      <c r="H12" s="52">
        <f t="shared" si="3"/>
        <v>1.4221861032100772E-2</v>
      </c>
      <c r="I12" s="18">
        <v>2032</v>
      </c>
      <c r="J12" s="50">
        <v>0.10777777764532301</v>
      </c>
      <c r="K12" s="49">
        <f t="shared" si="4"/>
        <v>23000640</v>
      </c>
      <c r="L12" s="20">
        <f>IF($K12-SUM($L$4:$L11)&gt;0,$K12-SUM($L$4:$L11),0)</f>
        <v>556320</v>
      </c>
      <c r="M12" s="21">
        <f t="shared" si="6"/>
        <v>2.6068376068376069E-3</v>
      </c>
      <c r="N12" s="46">
        <f t="shared" si="7"/>
        <v>1.1264925865953057</v>
      </c>
      <c r="O12" s="47">
        <f>IF($O$4*N12-O11&gt;PrixVenteIncrement,Tables!O11+PrixVenteIncrement,Tables!O11)</f>
        <v>30</v>
      </c>
      <c r="P12" s="22">
        <f t="shared" si="8"/>
        <v>16689600</v>
      </c>
      <c r="Q12" s="83">
        <f t="shared" si="9"/>
        <v>690019200</v>
      </c>
      <c r="R12" s="84">
        <f>XNPV(2.5,P$5:P12,A$5:A12)</f>
        <v>688376004.90901744</v>
      </c>
      <c r="S12" s="25"/>
    </row>
    <row r="13" spans="1:24" x14ac:dyDescent="0.25">
      <c r="A13" s="65">
        <v>2033</v>
      </c>
      <c r="B13" s="66">
        <v>104.5</v>
      </c>
      <c r="C13" s="67">
        <f t="shared" si="0"/>
        <v>397100000</v>
      </c>
      <c r="D13" s="68">
        <f t="shared" si="1"/>
        <v>4.807692307692308E-3</v>
      </c>
      <c r="E13" s="82">
        <v>2033</v>
      </c>
      <c r="F13" s="69">
        <v>0.54500000000000004</v>
      </c>
      <c r="G13" s="70">
        <f t="shared" si="2"/>
        <v>216419500.00000003</v>
      </c>
      <c r="H13" s="71">
        <f t="shared" si="3"/>
        <v>1.4111467236467376E-2</v>
      </c>
      <c r="I13" s="82">
        <v>2033</v>
      </c>
      <c r="J13" s="68">
        <v>0.10888888852463828</v>
      </c>
      <c r="K13" s="67">
        <f t="shared" si="4"/>
        <v>23565679</v>
      </c>
      <c r="L13" s="20">
        <f>IF($K13-SUM($L$4:$L12)&gt;0,$K13-SUM($L$4:$L12),0)</f>
        <v>565039</v>
      </c>
      <c r="M13" s="21">
        <f t="shared" si="6"/>
        <v>2.6108506858208247E-3</v>
      </c>
      <c r="N13" s="46">
        <f t="shared" si="7"/>
        <v>1.1433899753942351</v>
      </c>
      <c r="O13" s="47">
        <f>IF($O$4*N13-O12&gt;PrixVenteIncrement,Tables!O12+PrixVenteIncrement,Tables!O12)</f>
        <v>30</v>
      </c>
      <c r="P13" s="22">
        <f t="shared" si="8"/>
        <v>16951170</v>
      </c>
      <c r="Q13" s="83">
        <f t="shared" si="9"/>
        <v>706970370</v>
      </c>
      <c r="R13" s="84">
        <f>XNPV(2.5,P$5:P13,A$5:A13)</f>
        <v>704868064.68702984</v>
      </c>
      <c r="S13" s="76"/>
      <c r="T13" s="77"/>
    </row>
    <row r="14" spans="1:24" x14ac:dyDescent="0.25">
      <c r="A14" s="48">
        <v>2034</v>
      </c>
      <c r="B14" s="61">
        <v>105</v>
      </c>
      <c r="C14" s="49">
        <f t="shared" si="0"/>
        <v>399000000</v>
      </c>
      <c r="D14" s="50">
        <f t="shared" si="1"/>
        <v>4.7846889952153108E-3</v>
      </c>
      <c r="E14" s="18">
        <v>2034</v>
      </c>
      <c r="F14" s="54">
        <v>0.55000000000000004</v>
      </c>
      <c r="G14" s="51">
        <f t="shared" si="2"/>
        <v>219450000.00000003</v>
      </c>
      <c r="H14" s="52">
        <f t="shared" si="3"/>
        <v>1.4002897151134716E-2</v>
      </c>
      <c r="I14" s="18">
        <v>2034</v>
      </c>
      <c r="J14" s="50">
        <v>0.10999999940395355</v>
      </c>
      <c r="K14" s="49">
        <f t="shared" si="4"/>
        <v>24139500</v>
      </c>
      <c r="L14" s="20">
        <f>IF($K14-SUM($L$4:$L13)&gt;0,$K14-SUM($L$4:$L13),0)</f>
        <v>573821</v>
      </c>
      <c r="M14" s="21">
        <f t="shared" si="6"/>
        <v>2.6148143084985189E-3</v>
      </c>
      <c r="N14" s="46">
        <f t="shared" si="7"/>
        <v>1.1605408250251485</v>
      </c>
      <c r="O14" s="47">
        <f>IF($O$4*N14-O13&gt;PrixVenteIncrement,Tables!O13+PrixVenteIncrement,Tables!O13)</f>
        <v>30</v>
      </c>
      <c r="P14" s="22">
        <f t="shared" si="8"/>
        <v>17214630</v>
      </c>
      <c r="Q14" s="83">
        <f t="shared" si="9"/>
        <v>724185000</v>
      </c>
      <c r="R14" s="84">
        <f>XNPV(2.5,P$5:P14,A$5:A14)</f>
        <v>721559063.11608303</v>
      </c>
      <c r="S14" s="25"/>
    </row>
    <row r="15" spans="1:24" x14ac:dyDescent="0.25">
      <c r="A15" s="42">
        <v>2035</v>
      </c>
      <c r="B15" s="61">
        <v>105.5</v>
      </c>
      <c r="C15" s="49">
        <f t="shared" si="0"/>
        <v>400900000</v>
      </c>
      <c r="D15" s="50">
        <f t="shared" si="1"/>
        <v>4.7619047619047623E-3</v>
      </c>
      <c r="E15" s="18">
        <v>2035</v>
      </c>
      <c r="F15" s="54">
        <v>0.55500000000000005</v>
      </c>
      <c r="G15" s="51">
        <f t="shared" si="2"/>
        <v>222499500.00000003</v>
      </c>
      <c r="H15" s="52">
        <f t="shared" si="3"/>
        <v>1.3896103896103894E-2</v>
      </c>
      <c r="I15" s="18">
        <v>2035</v>
      </c>
      <c r="J15" s="50">
        <v>0.10999999940395355</v>
      </c>
      <c r="K15" s="49">
        <f t="shared" si="4"/>
        <v>24474945</v>
      </c>
      <c r="L15" s="20">
        <f>IF($K15-SUM($L$4:$L14)&gt;0,$K15-SUM($L$4:$L14),0)</f>
        <v>335445</v>
      </c>
      <c r="M15" s="21">
        <f t="shared" si="6"/>
        <v>1.5076213654412703E-3</v>
      </c>
      <c r="N15" s="46">
        <f t="shared" si="7"/>
        <v>1.1779489374005256</v>
      </c>
      <c r="O15" s="47">
        <f>IF($O$4*N15-O14&gt;PrixVenteIncrement,Tables!O14+PrixVenteIncrement,Tables!O14)</f>
        <v>35</v>
      </c>
      <c r="P15" s="22">
        <f t="shared" si="8"/>
        <v>11740575</v>
      </c>
      <c r="Q15" s="83">
        <f t="shared" si="9"/>
        <v>735925575</v>
      </c>
      <c r="R15" s="84">
        <f>XNPV(2.5,P$5:P15,A$5:A15)</f>
        <v>732903511.75922287</v>
      </c>
      <c r="S15" s="25"/>
    </row>
    <row r="16" spans="1:24" x14ac:dyDescent="0.25">
      <c r="A16" s="65">
        <v>2036</v>
      </c>
      <c r="B16" s="66">
        <v>106</v>
      </c>
      <c r="C16" s="67">
        <f t="shared" si="0"/>
        <v>402800000</v>
      </c>
      <c r="D16" s="68">
        <f t="shared" si="1"/>
        <v>4.7393364928909956E-3</v>
      </c>
      <c r="E16" s="82">
        <v>2036</v>
      </c>
      <c r="F16" s="69">
        <v>0.56000000000000005</v>
      </c>
      <c r="G16" s="70">
        <f t="shared" si="2"/>
        <v>225568000.00000003</v>
      </c>
      <c r="H16" s="71">
        <f t="shared" si="3"/>
        <v>1.3791042227061182E-2</v>
      </c>
      <c r="I16" s="82">
        <v>2036</v>
      </c>
      <c r="J16" s="68">
        <v>0.10999999940395355</v>
      </c>
      <c r="K16" s="67">
        <f t="shared" si="4"/>
        <v>24812480</v>
      </c>
      <c r="L16" s="20">
        <f>IF($K16-SUM($L$4:$L15)&gt;0,$K16-SUM($L$4:$L15),0)</f>
        <v>337535</v>
      </c>
      <c r="M16" s="21">
        <f t="shared" si="6"/>
        <v>1.4963780323450132E-3</v>
      </c>
      <c r="N16" s="46">
        <f t="shared" si="7"/>
        <v>1.1956181714615333</v>
      </c>
      <c r="O16" s="47">
        <f>IF($O$4*N16-O15&gt;PrixVenteIncrement,Tables!O15+PrixVenteIncrement,Tables!O15)</f>
        <v>35</v>
      </c>
      <c r="P16" s="22">
        <f t="shared" si="8"/>
        <v>11813725</v>
      </c>
      <c r="Q16" s="83">
        <f t="shared" si="9"/>
        <v>747739300</v>
      </c>
      <c r="R16" s="84">
        <f>XNPV(2.5,P$5:P16,A$5:A16)</f>
        <v>744279530.16179955</v>
      </c>
      <c r="S16" s="76"/>
      <c r="T16" s="77"/>
    </row>
    <row r="17" spans="1:20" x14ac:dyDescent="0.25">
      <c r="A17" s="42">
        <v>2037</v>
      </c>
      <c r="B17" s="61">
        <v>106.5</v>
      </c>
      <c r="C17" s="49">
        <f t="shared" si="0"/>
        <v>404700000</v>
      </c>
      <c r="D17" s="50">
        <f t="shared" si="1"/>
        <v>4.7169811320754715E-3</v>
      </c>
      <c r="E17" s="18">
        <v>2037</v>
      </c>
      <c r="F17" s="54">
        <v>0.56499999999999995</v>
      </c>
      <c r="G17" s="51">
        <f t="shared" si="2"/>
        <v>228655499.99999997</v>
      </c>
      <c r="H17" s="52">
        <f t="shared" si="3"/>
        <v>1.3687668463611594E-2</v>
      </c>
      <c r="I17" s="18">
        <v>2037</v>
      </c>
      <c r="J17" s="50">
        <v>0.10999999940395355</v>
      </c>
      <c r="K17" s="49">
        <f t="shared" si="4"/>
        <v>25152105</v>
      </c>
      <c r="L17" s="20">
        <f>IF($K17-SUM($L$4:$L16)&gt;0,$K17-SUM($L$4:$L16),0)</f>
        <v>339625</v>
      </c>
      <c r="M17" s="21">
        <f t="shared" si="6"/>
        <v>1.4853130582907477E-3</v>
      </c>
      <c r="N17" s="46">
        <f t="shared" si="7"/>
        <v>1.2135524440334562</v>
      </c>
      <c r="O17" s="47">
        <f>IF($O$4*N17-O16&gt;PrixVenteIncrement,Tables!O16+PrixVenteIncrement,Tables!O16)</f>
        <v>35</v>
      </c>
      <c r="P17" s="22">
        <f t="shared" si="8"/>
        <v>11886875</v>
      </c>
      <c r="Q17" s="83">
        <f t="shared" si="9"/>
        <v>759626175</v>
      </c>
      <c r="R17" s="84">
        <f>XNPV(2.5,P$5:P17,A$5:A17)</f>
        <v>755686768.80417323</v>
      </c>
      <c r="S17" s="25"/>
    </row>
    <row r="18" spans="1:20" x14ac:dyDescent="0.25">
      <c r="A18" s="48">
        <v>2038</v>
      </c>
      <c r="B18" s="61">
        <v>107</v>
      </c>
      <c r="C18" s="49">
        <f t="shared" si="0"/>
        <v>406600000</v>
      </c>
      <c r="D18" s="50">
        <f t="shared" si="1"/>
        <v>4.6948356807511738E-3</v>
      </c>
      <c r="E18" s="18">
        <v>2038</v>
      </c>
      <c r="F18" s="54">
        <v>0.56999999999999995</v>
      </c>
      <c r="G18" s="51">
        <f t="shared" si="2"/>
        <v>231761999.99999997</v>
      </c>
      <c r="H18" s="52">
        <f t="shared" si="3"/>
        <v>1.3585940421288797E-2</v>
      </c>
      <c r="I18" s="18">
        <v>2038</v>
      </c>
      <c r="J18" s="50">
        <v>0.10999999940395355</v>
      </c>
      <c r="K18" s="49">
        <f t="shared" si="4"/>
        <v>25493820</v>
      </c>
      <c r="L18" s="20">
        <f>IF($K18-SUM($L$4:$L17)&gt;0,$K18-SUM($L$4:$L17),0)</f>
        <v>341715</v>
      </c>
      <c r="M18" s="21">
        <f t="shared" si="6"/>
        <v>1.4744220363994099E-3</v>
      </c>
      <c r="N18" s="46">
        <f t="shared" si="7"/>
        <v>1.2317557306939577</v>
      </c>
      <c r="O18" s="47">
        <f>IF($O$4*N18-O17&gt;PrixVenteIncrement,Tables!O17+PrixVenteIncrement,Tables!O17)</f>
        <v>35</v>
      </c>
      <c r="P18" s="22">
        <f t="shared" si="8"/>
        <v>11960025</v>
      </c>
      <c r="Q18" s="83">
        <f t="shared" si="9"/>
        <v>771586200</v>
      </c>
      <c r="R18" s="84">
        <f>XNPV(2.5,P$5:P18,A$5:A18)</f>
        <v>767124880.19122946</v>
      </c>
      <c r="S18" s="25"/>
    </row>
    <row r="19" spans="1:20" x14ac:dyDescent="0.25">
      <c r="A19" s="65">
        <v>2039</v>
      </c>
      <c r="B19" s="66">
        <v>107.5</v>
      </c>
      <c r="C19" s="67">
        <f t="shared" si="0"/>
        <v>408500000</v>
      </c>
      <c r="D19" s="68">
        <f t="shared" si="1"/>
        <v>4.6728971962616819E-3</v>
      </c>
      <c r="E19" s="82">
        <v>2039</v>
      </c>
      <c r="F19" s="69">
        <v>0.57499999999999996</v>
      </c>
      <c r="G19" s="70">
        <f t="shared" si="2"/>
        <v>234887499.99999997</v>
      </c>
      <c r="H19" s="71">
        <f t="shared" si="3"/>
        <v>1.3485817347106084E-2</v>
      </c>
      <c r="I19" s="82">
        <v>2039</v>
      </c>
      <c r="J19" s="68">
        <v>0.10999999940395355</v>
      </c>
      <c r="K19" s="67">
        <f t="shared" si="4"/>
        <v>25837625</v>
      </c>
      <c r="L19" s="20">
        <f>IF($K19-SUM($L$4:$L18)&gt;0,$K19-SUM($L$4:$L18),0)</f>
        <v>343805</v>
      </c>
      <c r="M19" s="21">
        <f t="shared" si="6"/>
        <v>1.4637007077856422E-3</v>
      </c>
      <c r="N19" s="46">
        <f t="shared" si="7"/>
        <v>1.2502320666543669</v>
      </c>
      <c r="O19" s="47">
        <f>IF($O$4*N19-O18&gt;PrixVenteIncrement,Tables!O18+PrixVenteIncrement,Tables!O18)</f>
        <v>35</v>
      </c>
      <c r="P19" s="22">
        <f t="shared" si="8"/>
        <v>12033175</v>
      </c>
      <c r="Q19" s="83">
        <f t="shared" si="9"/>
        <v>783619375</v>
      </c>
      <c r="R19" s="84">
        <f>XNPV(2.5,P$5:P19,A$5:A19)</f>
        <v>778593518.84260905</v>
      </c>
      <c r="S19" s="76"/>
      <c r="T19" s="77"/>
    </row>
    <row r="20" spans="1:20" x14ac:dyDescent="0.25">
      <c r="A20" s="48">
        <v>2040</v>
      </c>
      <c r="B20" s="61">
        <v>108</v>
      </c>
      <c r="C20" s="49">
        <f t="shared" si="0"/>
        <v>410400000</v>
      </c>
      <c r="D20" s="50">
        <f t="shared" si="1"/>
        <v>4.6511627906976744E-3</v>
      </c>
      <c r="E20" s="18">
        <v>2040</v>
      </c>
      <c r="F20" s="54">
        <v>0.57999999999999996</v>
      </c>
      <c r="G20" s="51">
        <f t="shared" si="2"/>
        <v>238031999.99999997</v>
      </c>
      <c r="H20" s="52">
        <f t="shared" si="3"/>
        <v>1.3387259858442873E-2</v>
      </c>
      <c r="I20" s="18">
        <v>2040</v>
      </c>
      <c r="J20" s="50">
        <v>0.10999999940395355</v>
      </c>
      <c r="K20" s="49">
        <f t="shared" si="4"/>
        <v>26183520</v>
      </c>
      <c r="L20" s="20">
        <f>IF($K20-SUM($L$4:$L19)&gt;0,$K20-SUM($L$4:$L19),0)</f>
        <v>345895</v>
      </c>
      <c r="M20" s="21">
        <f t="shared" si="6"/>
        <v>1.4531449553001278E-3</v>
      </c>
      <c r="N20" s="46">
        <f t="shared" si="7"/>
        <v>1.2689855476541823</v>
      </c>
      <c r="O20" s="47">
        <f>IF($O$4*N20-O19&gt;PrixVenteIncrement,Tables!O19+PrixVenteIncrement,Tables!O19)</f>
        <v>35</v>
      </c>
      <c r="P20" s="22">
        <f t="shared" si="8"/>
        <v>12106325</v>
      </c>
      <c r="Q20" s="83">
        <f t="shared" si="9"/>
        <v>795725700</v>
      </c>
      <c r="R20" s="84">
        <f>XNPV(2.5,P$5:P20,A$5:A20)</f>
        <v>790092341.28298092</v>
      </c>
      <c r="S20" s="25"/>
    </row>
    <row r="21" spans="1:20" x14ac:dyDescent="0.25">
      <c r="A21" s="42">
        <v>2041</v>
      </c>
      <c r="B21" s="61">
        <v>108.5</v>
      </c>
      <c r="C21" s="49">
        <f t="shared" si="0"/>
        <v>412300000</v>
      </c>
      <c r="D21" s="50">
        <f t="shared" si="1"/>
        <v>4.6296296296296294E-3</v>
      </c>
      <c r="E21" s="18">
        <v>2041</v>
      </c>
      <c r="F21" s="54">
        <v>0.58499999999999996</v>
      </c>
      <c r="G21" s="51">
        <f t="shared" si="2"/>
        <v>241195500</v>
      </c>
      <c r="H21" s="52">
        <f t="shared" si="3"/>
        <v>1.3290229885057597E-2</v>
      </c>
      <c r="I21" s="18">
        <v>2041</v>
      </c>
      <c r="J21" s="50">
        <v>0.10999999940395355</v>
      </c>
      <c r="K21" s="49">
        <f t="shared" si="4"/>
        <v>26531505</v>
      </c>
      <c r="L21" s="20">
        <f>IF($K21-SUM($L$4:$L20)&gt;0,$K21-SUM($L$4:$L20),0)</f>
        <v>347985</v>
      </c>
      <c r="M21" s="21">
        <f t="shared" si="6"/>
        <v>1.4427507975895073E-3</v>
      </c>
      <c r="N21" s="46">
        <f t="shared" si="7"/>
        <v>1.2880203308689948</v>
      </c>
      <c r="O21" s="47">
        <f>IF($O$4*N21-O20&gt;PrixVenteIncrement,Tables!O20+PrixVenteIncrement,Tables!O20)</f>
        <v>35</v>
      </c>
      <c r="P21" s="22">
        <f t="shared" si="8"/>
        <v>12179475</v>
      </c>
      <c r="Q21" s="83">
        <f t="shared" si="9"/>
        <v>807905175</v>
      </c>
      <c r="R21" s="84">
        <f>XNPV(2.5,P$5:P21,A$5:A21)</f>
        <v>801621006.03235829</v>
      </c>
      <c r="S21" s="25"/>
    </row>
    <row r="22" spans="1:20" x14ac:dyDescent="0.25">
      <c r="A22" s="65">
        <v>2042</v>
      </c>
      <c r="B22" s="66">
        <v>109</v>
      </c>
      <c r="C22" s="67">
        <f t="shared" si="0"/>
        <v>414200000</v>
      </c>
      <c r="D22" s="68">
        <f t="shared" si="1"/>
        <v>4.608294930875576E-3</v>
      </c>
      <c r="E22" s="82">
        <v>2042</v>
      </c>
      <c r="F22" s="69">
        <v>0.59</v>
      </c>
      <c r="G22" s="70">
        <f t="shared" si="2"/>
        <v>244378000</v>
      </c>
      <c r="H22" s="71">
        <f t="shared" si="3"/>
        <v>1.3194690614045454E-2</v>
      </c>
      <c r="I22" s="82">
        <v>2042</v>
      </c>
      <c r="J22" s="68">
        <v>0.10999999940395355</v>
      </c>
      <c r="K22" s="67">
        <f t="shared" si="4"/>
        <v>26881580</v>
      </c>
      <c r="L22" s="20">
        <f>IF($K22-SUM($L$4:$L21)&gt;0,$K22-SUM($L$4:$L21),0)</f>
        <v>350075</v>
      </c>
      <c r="M22" s="21">
        <f t="shared" si="6"/>
        <v>1.4325143834551391E-3</v>
      </c>
      <c r="N22" s="46">
        <f t="shared" si="7"/>
        <v>1.3073406358320296</v>
      </c>
      <c r="O22" s="47">
        <f>IF($O$4*N22-O21&gt;PrixVenteIncrement,Tables!O21+PrixVenteIncrement,Tables!O21)</f>
        <v>35</v>
      </c>
      <c r="P22" s="22">
        <f t="shared" si="8"/>
        <v>12252625</v>
      </c>
      <c r="Q22" s="83">
        <f t="shared" si="9"/>
        <v>820157800</v>
      </c>
      <c r="R22" s="84">
        <f>XNPV(2.5,P$5:P22,A$5:A22)</f>
        <v>813179173.59645748</v>
      </c>
      <c r="S22" s="76"/>
      <c r="T22" s="77"/>
    </row>
    <row r="23" spans="1:20" x14ac:dyDescent="0.25">
      <c r="A23" s="42">
        <v>2043</v>
      </c>
      <c r="B23" s="61">
        <v>109.5</v>
      </c>
      <c r="C23" s="49">
        <f t="shared" si="0"/>
        <v>416100000</v>
      </c>
      <c r="D23" s="50">
        <f t="shared" si="1"/>
        <v>4.5871559633027525E-3</v>
      </c>
      <c r="E23" s="18">
        <v>2043</v>
      </c>
      <c r="F23" s="54">
        <v>0.59499999999999997</v>
      </c>
      <c r="G23" s="51">
        <f t="shared" si="2"/>
        <v>247579500</v>
      </c>
      <c r="H23" s="52">
        <f t="shared" si="3"/>
        <v>1.3100606437568029E-2</v>
      </c>
      <c r="I23" s="18">
        <v>2043</v>
      </c>
      <c r="J23" s="50">
        <v>0.10999999940395355</v>
      </c>
      <c r="K23" s="49">
        <f t="shared" si="4"/>
        <v>27233745</v>
      </c>
      <c r="L23" s="20">
        <f>IF($K23-SUM($L$4:$L22)&gt;0,$K23-SUM($L$4:$L22),0)</f>
        <v>352165</v>
      </c>
      <c r="M23" s="21">
        <f t="shared" si="6"/>
        <v>1.4224319864932274E-3</v>
      </c>
      <c r="N23" s="46">
        <f t="shared" si="7"/>
        <v>1.32695074536951</v>
      </c>
      <c r="O23" s="47">
        <f>IF($O$4*N23-O22&gt;PrixVenteIncrement,Tables!O22+PrixVenteIncrement,Tables!O22)</f>
        <v>35</v>
      </c>
      <c r="P23" s="22">
        <f t="shared" si="8"/>
        <v>12325775</v>
      </c>
      <c r="Q23" s="83">
        <f t="shared" si="9"/>
        <v>832483575</v>
      </c>
      <c r="R23" s="84">
        <f>XNPV(2.5,P$5:P23,A$5:A23)</f>
        <v>824766506.45709944</v>
      </c>
      <c r="S23" s="25"/>
    </row>
    <row r="24" spans="1:20" x14ac:dyDescent="0.25">
      <c r="A24" s="48">
        <v>2044</v>
      </c>
      <c r="B24" s="61">
        <v>110</v>
      </c>
      <c r="C24" s="49">
        <f t="shared" si="0"/>
        <v>418000000</v>
      </c>
      <c r="D24" s="50">
        <f t="shared" si="1"/>
        <v>4.5662100456621002E-3</v>
      </c>
      <c r="E24" s="18">
        <v>2044</v>
      </c>
      <c r="F24" s="54">
        <v>0.6</v>
      </c>
      <c r="G24" s="51">
        <f t="shared" si="2"/>
        <v>250800000</v>
      </c>
      <c r="H24" s="52">
        <f t="shared" si="3"/>
        <v>1.3007942903188673E-2</v>
      </c>
      <c r="I24" s="18">
        <v>2044</v>
      </c>
      <c r="J24" s="50">
        <v>0.10999999940395355</v>
      </c>
      <c r="K24" s="49">
        <f t="shared" si="4"/>
        <v>27588000</v>
      </c>
      <c r="L24" s="20">
        <f>IF($K24-SUM($L$4:$L23)&gt;0,$K24-SUM($L$4:$L23),0)</f>
        <v>354255</v>
      </c>
      <c r="M24" s="21">
        <f t="shared" si="6"/>
        <v>1.4124999999999999E-3</v>
      </c>
      <c r="N24" s="46">
        <f t="shared" si="7"/>
        <v>1.3468550065500522</v>
      </c>
      <c r="O24" s="47">
        <f>IF($O$4*N24-O23&gt;PrixVenteIncrement,Tables!O23+PrixVenteIncrement,Tables!O23)</f>
        <v>40</v>
      </c>
      <c r="P24" s="22">
        <f t="shared" si="8"/>
        <v>14170200</v>
      </c>
      <c r="Q24" s="83">
        <f t="shared" si="9"/>
        <v>846653775</v>
      </c>
      <c r="R24" s="84">
        <f>XNPV(2.5,P$5:P24,A$5:A24)</f>
        <v>838042120.86344743</v>
      </c>
      <c r="S24" s="25"/>
    </row>
  </sheetData>
  <sheetProtection sheet="1" objects="1" scenarios="1"/>
  <mergeCells count="6">
    <mergeCell ref="L2:M2"/>
    <mergeCell ref="N2:P2"/>
    <mergeCell ref="P3:P4"/>
    <mergeCell ref="B2:D2"/>
    <mergeCell ref="F2:H2"/>
    <mergeCell ref="J2:K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"/>
  <sheetViews>
    <sheetView showRowColHeaders="0" workbookViewId="0">
      <selection activeCell="T27" sqref="T27"/>
    </sheetView>
  </sheetViews>
  <sheetFormatPr defaultColWidth="11.42578125" defaultRowHeight="15" x14ac:dyDescent="0.25"/>
  <sheetData/>
  <dataConsolidate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9C43-CBD6-4FA5-A0D5-6F78D10453ED}">
  <sheetPr codeName="Sheet4">
    <pageSetUpPr fitToPage="1"/>
  </sheetPr>
  <dimension ref="A1:X34"/>
  <sheetViews>
    <sheetView tabSelected="1" zoomScaleNormal="100" workbookViewId="0">
      <pane ySplit="4" topLeftCell="A5" activePane="bottomLeft" state="frozen"/>
      <selection pane="bottomLeft" activeCell="C4" sqref="C4"/>
    </sheetView>
  </sheetViews>
  <sheetFormatPr defaultColWidth="16.7109375" defaultRowHeight="15" x14ac:dyDescent="0.25"/>
  <cols>
    <col min="1" max="1" width="7.42578125" customWidth="1"/>
    <col min="2" max="2" width="15.42578125" customWidth="1"/>
    <col min="3" max="3" width="16.28515625" customWidth="1"/>
    <col min="4" max="4" width="18.28515625" customWidth="1"/>
    <col min="5" max="5" width="7.5703125" customWidth="1"/>
    <col min="6" max="6" width="15.140625" customWidth="1"/>
    <col min="7" max="7" width="16.28515625" customWidth="1"/>
    <col min="8" max="8" width="16.42578125" customWidth="1"/>
    <col min="9" max="9" width="8.42578125" customWidth="1"/>
    <col min="10" max="10" width="15.7109375" customWidth="1"/>
    <col min="11" max="11" width="11.42578125" customWidth="1"/>
    <col min="12" max="13" width="11.85546875" customWidth="1"/>
    <col min="14" max="14" width="10" customWidth="1"/>
    <col min="15" max="15" width="10.7109375" customWidth="1"/>
    <col min="17" max="17" width="16.5703125" customWidth="1"/>
    <col min="18" max="18" width="19.5703125" customWidth="1"/>
    <col min="20" max="20" width="3" customWidth="1"/>
    <col min="21" max="21" width="14.5703125" customWidth="1"/>
    <col min="22" max="22" width="14.85546875" customWidth="1"/>
  </cols>
  <sheetData>
    <row r="1" spans="1:24" x14ac:dyDescent="0.25">
      <c r="A1" s="10" t="s">
        <v>18</v>
      </c>
      <c r="B1" s="10"/>
      <c r="C1" s="10"/>
      <c r="D1" s="10"/>
      <c r="E1" s="10"/>
      <c r="F1" s="11" t="s">
        <v>5</v>
      </c>
      <c r="G1" s="10" t="s">
        <v>35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24" ht="30" customHeight="1" x14ac:dyDescent="0.25">
      <c r="A2" s="12" t="s">
        <v>21</v>
      </c>
      <c r="B2" s="89" t="s">
        <v>10</v>
      </c>
      <c r="C2" s="89"/>
      <c r="D2" s="89"/>
      <c r="E2" s="13"/>
      <c r="F2" s="90" t="s">
        <v>20</v>
      </c>
      <c r="G2" s="90"/>
      <c r="H2" s="90"/>
      <c r="I2" s="14"/>
      <c r="J2" s="91" t="s">
        <v>27</v>
      </c>
      <c r="K2" s="91"/>
      <c r="L2" s="85" t="s">
        <v>7</v>
      </c>
      <c r="M2" s="85"/>
      <c r="N2" s="86" t="s">
        <v>17</v>
      </c>
      <c r="O2" s="86"/>
      <c r="P2" s="86"/>
      <c r="Q2" s="23"/>
      <c r="R2" s="23"/>
      <c r="S2" s="23"/>
    </row>
    <row r="3" spans="1:24" ht="28.5" customHeight="1" x14ac:dyDescent="0.25">
      <c r="A3" s="15" t="s">
        <v>39</v>
      </c>
      <c r="B3" s="55" t="s">
        <v>36</v>
      </c>
      <c r="C3" s="56" t="s">
        <v>37</v>
      </c>
      <c r="D3" s="56" t="s">
        <v>38</v>
      </c>
      <c r="E3" s="16" t="s">
        <v>39</v>
      </c>
      <c r="F3" s="38" t="s">
        <v>40</v>
      </c>
      <c r="G3" s="38" t="s">
        <v>37</v>
      </c>
      <c r="H3" s="38" t="s">
        <v>38</v>
      </c>
      <c r="I3" s="17" t="s">
        <v>39</v>
      </c>
      <c r="J3" s="64" t="s">
        <v>28</v>
      </c>
      <c r="K3" s="27">
        <v>0</v>
      </c>
      <c r="L3" s="62" t="s">
        <v>19</v>
      </c>
      <c r="M3" s="62" t="s">
        <v>30</v>
      </c>
      <c r="N3" s="63" t="s">
        <v>1</v>
      </c>
      <c r="O3" s="63" t="s">
        <v>16</v>
      </c>
      <c r="P3" s="92" t="s">
        <v>31</v>
      </c>
      <c r="Q3" s="24" t="s">
        <v>41</v>
      </c>
      <c r="R3" s="24" t="s">
        <v>42</v>
      </c>
      <c r="S3" s="24"/>
    </row>
    <row r="4" spans="1:24" ht="15.75" thickBot="1" x14ac:dyDescent="0.3">
      <c r="A4" s="30">
        <v>0</v>
      </c>
      <c r="B4" s="57">
        <v>100</v>
      </c>
      <c r="C4" s="58">
        <f>PopulationRefer</f>
        <v>380000000</v>
      </c>
      <c r="D4" s="59">
        <f>(C4-PopulRefCount)/PopulRefCount</f>
        <v>0</v>
      </c>
      <c r="E4" s="31"/>
      <c r="F4" s="39">
        <f>PenetRefCount/PopulRefCount</f>
        <v>0.5</v>
      </c>
      <c r="G4" s="40">
        <f>PenetrationRefer</f>
        <v>190000000</v>
      </c>
      <c r="H4" s="41">
        <f>($G4-PenetRefCount)/PenetRefCount</f>
        <v>0</v>
      </c>
      <c r="I4" s="32"/>
      <c r="J4" s="33">
        <f>0</f>
        <v>0</v>
      </c>
      <c r="K4" s="34"/>
      <c r="L4" s="35"/>
      <c r="M4" s="35"/>
      <c r="N4" s="36">
        <f>TauxInflat</f>
        <v>1.4999999999999999E-2</v>
      </c>
      <c r="O4" s="37">
        <f>PrixVenteInitial</f>
        <v>30</v>
      </c>
      <c r="P4" s="93"/>
      <c r="Q4" s="25"/>
      <c r="R4" s="26"/>
      <c r="S4" s="25"/>
    </row>
    <row r="5" spans="1:24" ht="15.75" thickTop="1" x14ac:dyDescent="0.25">
      <c r="A5" s="42">
        <v>1</v>
      </c>
      <c r="B5" s="60">
        <v>100</v>
      </c>
      <c r="C5" s="20">
        <f t="shared" ref="C5" si="0">B5*PopulRefCount/B$4</f>
        <v>380000000</v>
      </c>
      <c r="D5" s="43">
        <f t="shared" ref="D5:D24" si="1">(C5-C4)/C4</f>
        <v>0</v>
      </c>
      <c r="E5" s="18">
        <f>A5</f>
        <v>1</v>
      </c>
      <c r="F5" s="53">
        <v>1</v>
      </c>
      <c r="G5" s="44">
        <f t="shared" ref="G5:G24" si="2">C5*F5</f>
        <v>380000000</v>
      </c>
      <c r="H5" s="45">
        <f t="shared" ref="H5:H24" si="3">($G5-$G4)/$G4</f>
        <v>1</v>
      </c>
      <c r="I5" s="18">
        <f>A5</f>
        <v>1</v>
      </c>
      <c r="J5" s="43">
        <v>0</v>
      </c>
      <c r="K5" s="19">
        <f t="shared" ref="K5:K24" si="4">ROUND($G5*$J5,0)</f>
        <v>0</v>
      </c>
      <c r="L5" s="20">
        <f>IF($K5-SUM($L$4:$L4)&gt;0,$K5-SUM($L$4:$L4),0)</f>
        <v>0</v>
      </c>
      <c r="M5" s="21">
        <f>L5/G5</f>
        <v>0</v>
      </c>
      <c r="N5" s="46">
        <f t="shared" ref="N5" si="5">POWER(1+N$4,A5-RefYear)</f>
        <v>8.3022638204031427E-14</v>
      </c>
      <c r="O5" s="47">
        <f>$O$4*N5</f>
        <v>2.4906791461209429E-12</v>
      </c>
      <c r="P5" s="22">
        <f>L5*$O5</f>
        <v>0</v>
      </c>
      <c r="Q5" s="83">
        <f>Q4+P5</f>
        <v>0</v>
      </c>
      <c r="R5" s="84">
        <f>XNPV(2.5,P$5:P5,A$5:A5)</f>
        <v>0</v>
      </c>
      <c r="S5" s="25"/>
      <c r="V5" s="22"/>
      <c r="W5" s="22"/>
      <c r="X5" s="22"/>
    </row>
    <row r="6" spans="1:24" x14ac:dyDescent="0.25">
      <c r="A6" s="48">
        <v>2</v>
      </c>
      <c r="B6" s="61">
        <v>100</v>
      </c>
      <c r="C6" s="49">
        <f t="shared" ref="C6:C24" si="6">B6*PopulRefCount/B$4</f>
        <v>380000000</v>
      </c>
      <c r="D6" s="50">
        <f t="shared" si="1"/>
        <v>0</v>
      </c>
      <c r="E6" s="18">
        <f t="shared" ref="E6:E24" si="7">A6</f>
        <v>2</v>
      </c>
      <c r="F6" s="54">
        <v>1</v>
      </c>
      <c r="G6" s="51">
        <f t="shared" si="2"/>
        <v>380000000</v>
      </c>
      <c r="H6" s="52">
        <f t="shared" si="3"/>
        <v>0</v>
      </c>
      <c r="I6" s="18">
        <f t="shared" ref="I6:I24" si="8">A6</f>
        <v>2</v>
      </c>
      <c r="J6" s="50">
        <v>0</v>
      </c>
      <c r="K6" s="49">
        <f t="shared" si="4"/>
        <v>0</v>
      </c>
      <c r="L6" s="20">
        <f>IF($K6-SUM($L$4:$L5)&gt;0,$K6-SUM($L$4:$L5),0)</f>
        <v>0</v>
      </c>
      <c r="M6" s="21">
        <f t="shared" ref="M6:M24" si="9">L6/G6</f>
        <v>0</v>
      </c>
      <c r="N6" s="46">
        <f t="shared" ref="N6:N24" si="10">POWER(1+N$4,A6-RefYear)</f>
        <v>8.4267977777091866E-14</v>
      </c>
      <c r="O6" s="47">
        <f t="shared" ref="O6:O24" si="11">$O$4*N6</f>
        <v>2.5280393333127558E-12</v>
      </c>
      <c r="P6" s="22">
        <f t="shared" ref="P6:P24" si="12">L6*$O6</f>
        <v>0</v>
      </c>
      <c r="Q6" s="83">
        <f t="shared" ref="Q6:Q24" si="13">Q5+P6</f>
        <v>0</v>
      </c>
      <c r="R6" s="84">
        <f>XNPV(2.5,P$5:P6,A$5:A6)</f>
        <v>0</v>
      </c>
      <c r="S6" s="25"/>
    </row>
    <row r="7" spans="1:24" s="77" customFormat="1" x14ac:dyDescent="0.25">
      <c r="A7" s="65">
        <v>3</v>
      </c>
      <c r="B7" s="66">
        <v>100</v>
      </c>
      <c r="C7" s="67">
        <f t="shared" si="6"/>
        <v>380000000</v>
      </c>
      <c r="D7" s="68">
        <f t="shared" si="1"/>
        <v>0</v>
      </c>
      <c r="E7" s="82">
        <f t="shared" si="7"/>
        <v>3</v>
      </c>
      <c r="F7" s="69">
        <v>1</v>
      </c>
      <c r="G7" s="70">
        <f t="shared" si="2"/>
        <v>380000000</v>
      </c>
      <c r="H7" s="71">
        <f t="shared" si="3"/>
        <v>0</v>
      </c>
      <c r="I7" s="82">
        <f t="shared" si="8"/>
        <v>3</v>
      </c>
      <c r="J7" s="68">
        <v>0</v>
      </c>
      <c r="K7" s="67">
        <f>ROUND($G7*$J7,0)</f>
        <v>0</v>
      </c>
      <c r="L7" s="67">
        <f>IF($K7-SUM($L$4:$L6)&gt;0,$K7-SUM($L$4:$L6),0)</f>
        <v>0</v>
      </c>
      <c r="M7" s="72">
        <f t="shared" si="9"/>
        <v>0</v>
      </c>
      <c r="N7" s="73">
        <f t="shared" si="10"/>
        <v>8.5531997443748247E-14</v>
      </c>
      <c r="O7" s="74">
        <f t="shared" si="11"/>
        <v>2.5659599233124474E-12</v>
      </c>
      <c r="P7" s="75">
        <f t="shared" si="12"/>
        <v>0</v>
      </c>
      <c r="Q7" s="83">
        <f t="shared" si="13"/>
        <v>0</v>
      </c>
      <c r="R7" s="84">
        <f>XNPV(2.5,P$5:P7,A$5:A7)</f>
        <v>0</v>
      </c>
      <c r="S7" s="76"/>
    </row>
    <row r="8" spans="1:24" x14ac:dyDescent="0.25">
      <c r="A8" s="48">
        <v>4</v>
      </c>
      <c r="B8" s="60">
        <v>100</v>
      </c>
      <c r="C8" s="49">
        <f t="shared" si="6"/>
        <v>380000000</v>
      </c>
      <c r="D8" s="50">
        <f t="shared" si="1"/>
        <v>0</v>
      </c>
      <c r="E8" s="18">
        <f t="shared" si="7"/>
        <v>4</v>
      </c>
      <c r="F8" s="53">
        <v>1</v>
      </c>
      <c r="G8" s="51">
        <f t="shared" si="2"/>
        <v>380000000</v>
      </c>
      <c r="H8" s="52">
        <f t="shared" si="3"/>
        <v>0</v>
      </c>
      <c r="I8" s="18">
        <f t="shared" si="8"/>
        <v>4</v>
      </c>
      <c r="J8" s="43">
        <v>0</v>
      </c>
      <c r="K8" s="49">
        <f t="shared" si="4"/>
        <v>0</v>
      </c>
      <c r="L8" s="20">
        <f>IF($K8-SUM($L$4:$L7)&gt;0,$K8-SUM($L$4:$L7),0)</f>
        <v>0</v>
      </c>
      <c r="M8" s="21">
        <f t="shared" si="9"/>
        <v>0</v>
      </c>
      <c r="N8" s="46">
        <f t="shared" si="10"/>
        <v>8.6814977405404434E-14</v>
      </c>
      <c r="O8" s="47">
        <f t="shared" si="11"/>
        <v>2.604449322162133E-12</v>
      </c>
      <c r="P8" s="22">
        <f t="shared" si="12"/>
        <v>0</v>
      </c>
      <c r="Q8" s="83">
        <f t="shared" si="13"/>
        <v>0</v>
      </c>
      <c r="R8" s="84">
        <f>XNPV(2.5,P$5:P8,A$5:A8)</f>
        <v>0</v>
      </c>
      <c r="S8" s="25"/>
    </row>
    <row r="9" spans="1:24" x14ac:dyDescent="0.25">
      <c r="A9" s="42">
        <v>5</v>
      </c>
      <c r="B9" s="61">
        <v>100</v>
      </c>
      <c r="C9" s="49">
        <f t="shared" si="6"/>
        <v>380000000</v>
      </c>
      <c r="D9" s="50">
        <f t="shared" si="1"/>
        <v>0</v>
      </c>
      <c r="E9" s="18">
        <f t="shared" si="7"/>
        <v>5</v>
      </c>
      <c r="F9" s="54">
        <v>1</v>
      </c>
      <c r="G9" s="51">
        <f t="shared" si="2"/>
        <v>380000000</v>
      </c>
      <c r="H9" s="52">
        <f t="shared" si="3"/>
        <v>0</v>
      </c>
      <c r="I9" s="18">
        <f t="shared" si="8"/>
        <v>5</v>
      </c>
      <c r="J9" s="50">
        <v>0</v>
      </c>
      <c r="K9" s="49">
        <f t="shared" si="4"/>
        <v>0</v>
      </c>
      <c r="L9" s="20">
        <f>IF($K9-SUM($L$4:$L8)&gt;0,$K9-SUM($L$4:$L8),0)</f>
        <v>0</v>
      </c>
      <c r="M9" s="21">
        <f t="shared" si="9"/>
        <v>0</v>
      </c>
      <c r="N9" s="46">
        <f t="shared" si="10"/>
        <v>8.8117202066485506E-14</v>
      </c>
      <c r="O9" s="47">
        <f t="shared" si="11"/>
        <v>2.6435160619945654E-12</v>
      </c>
      <c r="P9" s="22">
        <f t="shared" si="12"/>
        <v>0</v>
      </c>
      <c r="Q9" s="83">
        <f t="shared" si="13"/>
        <v>0</v>
      </c>
      <c r="R9" s="84">
        <f>XNPV(2.5,P$5:P9,A$5:A9)</f>
        <v>0</v>
      </c>
      <c r="S9" s="25"/>
    </row>
    <row r="10" spans="1:24" s="77" customFormat="1" x14ac:dyDescent="0.25">
      <c r="A10" s="65">
        <v>6</v>
      </c>
      <c r="B10" s="66">
        <v>100</v>
      </c>
      <c r="C10" s="67">
        <f t="shared" si="6"/>
        <v>380000000</v>
      </c>
      <c r="D10" s="68">
        <f t="shared" si="1"/>
        <v>0</v>
      </c>
      <c r="E10" s="82">
        <f t="shared" si="7"/>
        <v>6</v>
      </c>
      <c r="F10" s="69">
        <v>1</v>
      </c>
      <c r="G10" s="70">
        <f t="shared" si="2"/>
        <v>380000000</v>
      </c>
      <c r="H10" s="71">
        <f t="shared" si="3"/>
        <v>0</v>
      </c>
      <c r="I10" s="82">
        <f t="shared" si="8"/>
        <v>6</v>
      </c>
      <c r="J10" s="68">
        <v>0</v>
      </c>
      <c r="K10" s="67">
        <f t="shared" si="4"/>
        <v>0</v>
      </c>
      <c r="L10" s="67">
        <f>IF($K10-SUM($L$4:$L9)&gt;0,$K10-SUM($L$4:$L9),0)</f>
        <v>0</v>
      </c>
      <c r="M10" s="72">
        <f t="shared" si="9"/>
        <v>0</v>
      </c>
      <c r="N10" s="73">
        <f t="shared" si="10"/>
        <v>8.9438960097482779E-14</v>
      </c>
      <c r="O10" s="74">
        <f t="shared" si="11"/>
        <v>2.6831688029244832E-12</v>
      </c>
      <c r="P10" s="75">
        <f t="shared" si="12"/>
        <v>0</v>
      </c>
      <c r="Q10" s="83">
        <f t="shared" si="13"/>
        <v>0</v>
      </c>
      <c r="R10" s="84">
        <f>XNPV(2.5,P$5:P10,A$5:A10)</f>
        <v>0</v>
      </c>
      <c r="S10" s="76"/>
    </row>
    <row r="11" spans="1:24" x14ac:dyDescent="0.25">
      <c r="A11" s="42">
        <v>7</v>
      </c>
      <c r="B11" s="60">
        <v>100</v>
      </c>
      <c r="C11" s="49">
        <f t="shared" si="6"/>
        <v>380000000</v>
      </c>
      <c r="D11" s="50">
        <f t="shared" si="1"/>
        <v>0</v>
      </c>
      <c r="E11" s="18">
        <f t="shared" si="7"/>
        <v>7</v>
      </c>
      <c r="F11" s="53">
        <v>1</v>
      </c>
      <c r="G11" s="51">
        <f t="shared" si="2"/>
        <v>380000000</v>
      </c>
      <c r="H11" s="52">
        <f t="shared" si="3"/>
        <v>0</v>
      </c>
      <c r="I11" s="18">
        <f t="shared" si="8"/>
        <v>7</v>
      </c>
      <c r="J11" s="43">
        <v>0</v>
      </c>
      <c r="K11" s="49">
        <f t="shared" si="4"/>
        <v>0</v>
      </c>
      <c r="L11" s="20">
        <f>IF($K11-SUM($L$4:$L10)&gt;0,$K11-SUM($L$4:$L10),0)</f>
        <v>0</v>
      </c>
      <c r="M11" s="21">
        <f t="shared" si="9"/>
        <v>0</v>
      </c>
      <c r="N11" s="46">
        <f t="shared" si="10"/>
        <v>9.0780544498945002E-14</v>
      </c>
      <c r="O11" s="47">
        <f t="shared" si="11"/>
        <v>2.7234163349683499E-12</v>
      </c>
      <c r="P11" s="22">
        <f t="shared" si="12"/>
        <v>0</v>
      </c>
      <c r="Q11" s="83">
        <f t="shared" si="13"/>
        <v>0</v>
      </c>
      <c r="R11" s="84">
        <f>XNPV(2.5,P$5:P11,A$5:A11)</f>
        <v>0</v>
      </c>
      <c r="S11" s="25"/>
    </row>
    <row r="12" spans="1:24" x14ac:dyDescent="0.25">
      <c r="A12" s="48">
        <v>8</v>
      </c>
      <c r="B12" s="61">
        <v>100</v>
      </c>
      <c r="C12" s="49">
        <f t="shared" si="6"/>
        <v>380000000</v>
      </c>
      <c r="D12" s="50">
        <f t="shared" si="1"/>
        <v>0</v>
      </c>
      <c r="E12" s="18">
        <f t="shared" si="7"/>
        <v>8</v>
      </c>
      <c r="F12" s="54">
        <v>1</v>
      </c>
      <c r="G12" s="51">
        <f t="shared" si="2"/>
        <v>380000000</v>
      </c>
      <c r="H12" s="52">
        <f t="shared" si="3"/>
        <v>0</v>
      </c>
      <c r="I12" s="18">
        <f t="shared" si="8"/>
        <v>8</v>
      </c>
      <c r="J12" s="50">
        <v>0</v>
      </c>
      <c r="K12" s="49">
        <f t="shared" si="4"/>
        <v>0</v>
      </c>
      <c r="L12" s="20">
        <f>IF($K12-SUM($L$4:$L11)&gt;0,$K12-SUM($L$4:$L11),0)</f>
        <v>0</v>
      </c>
      <c r="M12" s="21">
        <f t="shared" si="9"/>
        <v>0</v>
      </c>
      <c r="N12" s="46">
        <f t="shared" si="10"/>
        <v>9.2142252666429185E-14</v>
      </c>
      <c r="O12" s="47">
        <f t="shared" si="11"/>
        <v>2.7642675799928756E-12</v>
      </c>
      <c r="P12" s="22">
        <f t="shared" si="12"/>
        <v>0</v>
      </c>
      <c r="Q12" s="83">
        <f t="shared" si="13"/>
        <v>0</v>
      </c>
      <c r="R12" s="84">
        <f>XNPV(2.5,P$5:P12,A$5:A12)</f>
        <v>0</v>
      </c>
      <c r="S12" s="25"/>
    </row>
    <row r="13" spans="1:24" s="77" customFormat="1" x14ac:dyDescent="0.25">
      <c r="A13" s="65">
        <v>9</v>
      </c>
      <c r="B13" s="66">
        <v>100</v>
      </c>
      <c r="C13" s="67">
        <f t="shared" si="6"/>
        <v>380000000</v>
      </c>
      <c r="D13" s="68">
        <f t="shared" si="1"/>
        <v>0</v>
      </c>
      <c r="E13" s="82">
        <f t="shared" si="7"/>
        <v>9</v>
      </c>
      <c r="F13" s="69">
        <v>1</v>
      </c>
      <c r="G13" s="70">
        <f t="shared" si="2"/>
        <v>380000000</v>
      </c>
      <c r="H13" s="71">
        <f t="shared" si="3"/>
        <v>0</v>
      </c>
      <c r="I13" s="82">
        <f t="shared" si="8"/>
        <v>9</v>
      </c>
      <c r="J13" s="68">
        <v>0</v>
      </c>
      <c r="K13" s="67">
        <f t="shared" si="4"/>
        <v>0</v>
      </c>
      <c r="L13" s="67">
        <f>IF($K13-SUM($L$4:$L12)&gt;0,$K13-SUM($L$4:$L12),0)</f>
        <v>0</v>
      </c>
      <c r="M13" s="72">
        <f t="shared" si="9"/>
        <v>0</v>
      </c>
      <c r="N13" s="73">
        <f t="shared" si="10"/>
        <v>9.3524386456425587E-14</v>
      </c>
      <c r="O13" s="74">
        <f t="shared" si="11"/>
        <v>2.8057315936927677E-12</v>
      </c>
      <c r="P13" s="75">
        <f t="shared" si="12"/>
        <v>0</v>
      </c>
      <c r="Q13" s="83">
        <f t="shared" si="13"/>
        <v>0</v>
      </c>
      <c r="R13" s="84">
        <f>XNPV(2.5,P$5:P13,A$5:A13)</f>
        <v>0</v>
      </c>
      <c r="S13" s="76"/>
    </row>
    <row r="14" spans="1:24" x14ac:dyDescent="0.25">
      <c r="A14" s="48">
        <v>10</v>
      </c>
      <c r="B14" s="60">
        <v>100</v>
      </c>
      <c r="C14" s="49">
        <f t="shared" si="6"/>
        <v>380000000</v>
      </c>
      <c r="D14" s="50">
        <f t="shared" si="1"/>
        <v>0</v>
      </c>
      <c r="E14" s="18">
        <f t="shared" si="7"/>
        <v>10</v>
      </c>
      <c r="F14" s="53">
        <v>1</v>
      </c>
      <c r="G14" s="51">
        <f t="shared" si="2"/>
        <v>380000000</v>
      </c>
      <c r="H14" s="52">
        <f t="shared" si="3"/>
        <v>0</v>
      </c>
      <c r="I14" s="18">
        <f t="shared" si="8"/>
        <v>10</v>
      </c>
      <c r="J14" s="43">
        <v>0</v>
      </c>
      <c r="K14" s="49">
        <f t="shared" si="4"/>
        <v>0</v>
      </c>
      <c r="L14" s="20">
        <f>IF($K14-SUM($L$4:$L13)&gt;0,$K14-SUM($L$4:$L13),0)</f>
        <v>0</v>
      </c>
      <c r="M14" s="21">
        <f t="shared" si="9"/>
        <v>0</v>
      </c>
      <c r="N14" s="46">
        <f t="shared" si="10"/>
        <v>9.4927252253271955E-14</v>
      </c>
      <c r="O14" s="47">
        <f t="shared" si="11"/>
        <v>2.8478175675981586E-12</v>
      </c>
      <c r="P14" s="22">
        <f t="shared" si="12"/>
        <v>0</v>
      </c>
      <c r="Q14" s="83">
        <f t="shared" si="13"/>
        <v>0</v>
      </c>
      <c r="R14" s="84">
        <f>XNPV(2.5,P$5:P14,A$5:A14)</f>
        <v>0</v>
      </c>
      <c r="S14" s="25"/>
    </row>
    <row r="15" spans="1:24" x14ac:dyDescent="0.25">
      <c r="A15" s="42">
        <v>11</v>
      </c>
      <c r="B15" s="61">
        <v>100</v>
      </c>
      <c r="C15" s="49">
        <f t="shared" si="6"/>
        <v>380000000</v>
      </c>
      <c r="D15" s="50">
        <f t="shared" si="1"/>
        <v>0</v>
      </c>
      <c r="E15" s="18">
        <f t="shared" si="7"/>
        <v>11</v>
      </c>
      <c r="F15" s="54">
        <v>1</v>
      </c>
      <c r="G15" s="51">
        <f t="shared" si="2"/>
        <v>380000000</v>
      </c>
      <c r="H15" s="52">
        <f t="shared" si="3"/>
        <v>0</v>
      </c>
      <c r="I15" s="18">
        <f t="shared" si="8"/>
        <v>11</v>
      </c>
      <c r="J15" s="50">
        <v>0</v>
      </c>
      <c r="K15" s="49">
        <f t="shared" si="4"/>
        <v>0</v>
      </c>
      <c r="L15" s="20">
        <f>IF($K15-SUM($L$4:$L14)&gt;0,$K15-SUM($L$4:$L14),0)</f>
        <v>0</v>
      </c>
      <c r="M15" s="21">
        <f t="shared" si="9"/>
        <v>0</v>
      </c>
      <c r="N15" s="46">
        <f t="shared" si="10"/>
        <v>9.6351161037071023E-14</v>
      </c>
      <c r="O15" s="47">
        <f t="shared" si="11"/>
        <v>2.8905348311121306E-12</v>
      </c>
      <c r="P15" s="22">
        <f t="shared" si="12"/>
        <v>0</v>
      </c>
      <c r="Q15" s="83">
        <f t="shared" si="13"/>
        <v>0</v>
      </c>
      <c r="R15" s="84">
        <f>XNPV(2.5,P$5:P15,A$5:A15)</f>
        <v>0</v>
      </c>
      <c r="S15" s="25"/>
    </row>
    <row r="16" spans="1:24" s="77" customFormat="1" x14ac:dyDescent="0.25">
      <c r="A16" s="65">
        <v>12</v>
      </c>
      <c r="B16" s="66">
        <v>100</v>
      </c>
      <c r="C16" s="67">
        <f t="shared" si="6"/>
        <v>380000000</v>
      </c>
      <c r="D16" s="68">
        <f t="shared" si="1"/>
        <v>0</v>
      </c>
      <c r="E16" s="82">
        <f t="shared" si="7"/>
        <v>12</v>
      </c>
      <c r="F16" s="69">
        <v>1</v>
      </c>
      <c r="G16" s="70">
        <f t="shared" si="2"/>
        <v>380000000</v>
      </c>
      <c r="H16" s="71">
        <f t="shared" si="3"/>
        <v>0</v>
      </c>
      <c r="I16" s="82">
        <f t="shared" si="8"/>
        <v>12</v>
      </c>
      <c r="J16" s="68">
        <v>0</v>
      </c>
      <c r="K16" s="67">
        <f t="shared" si="4"/>
        <v>0</v>
      </c>
      <c r="L16" s="67">
        <f>IF($K16-SUM($L$4:$L15)&gt;0,$K16-SUM($L$4:$L15),0)</f>
        <v>0</v>
      </c>
      <c r="M16" s="72">
        <f t="shared" si="9"/>
        <v>0</v>
      </c>
      <c r="N16" s="73">
        <f t="shared" si="10"/>
        <v>9.7796428452627079E-14</v>
      </c>
      <c r="O16" s="74">
        <f t="shared" si="11"/>
        <v>2.9338928535788124E-12</v>
      </c>
      <c r="P16" s="75">
        <f t="shared" si="12"/>
        <v>0</v>
      </c>
      <c r="Q16" s="83">
        <f t="shared" si="13"/>
        <v>0</v>
      </c>
      <c r="R16" s="84">
        <f>XNPV(2.5,P$5:P16,A$5:A16)</f>
        <v>0</v>
      </c>
      <c r="S16" s="76"/>
    </row>
    <row r="17" spans="1:19" x14ac:dyDescent="0.25">
      <c r="A17" s="42">
        <v>13</v>
      </c>
      <c r="B17" s="60">
        <v>100</v>
      </c>
      <c r="C17" s="49">
        <f t="shared" si="6"/>
        <v>380000000</v>
      </c>
      <c r="D17" s="50">
        <f t="shared" si="1"/>
        <v>0</v>
      </c>
      <c r="E17" s="18">
        <f t="shared" si="7"/>
        <v>13</v>
      </c>
      <c r="F17" s="53">
        <v>1</v>
      </c>
      <c r="G17" s="51">
        <f t="shared" si="2"/>
        <v>380000000</v>
      </c>
      <c r="H17" s="52">
        <f t="shared" si="3"/>
        <v>0</v>
      </c>
      <c r="I17" s="18">
        <f t="shared" si="8"/>
        <v>13</v>
      </c>
      <c r="J17" s="43">
        <v>0</v>
      </c>
      <c r="K17" s="49">
        <f t="shared" si="4"/>
        <v>0</v>
      </c>
      <c r="L17" s="20">
        <f>IF($K17-SUM($L$4:$L16)&gt;0,$K17-SUM($L$4:$L16),0)</f>
        <v>0</v>
      </c>
      <c r="M17" s="21">
        <f t="shared" si="9"/>
        <v>0</v>
      </c>
      <c r="N17" s="46">
        <f t="shared" si="10"/>
        <v>9.9263374879416479E-14</v>
      </c>
      <c r="O17" s="47">
        <f t="shared" si="11"/>
        <v>2.9779012463824944E-12</v>
      </c>
      <c r="P17" s="22">
        <f t="shared" si="12"/>
        <v>0</v>
      </c>
      <c r="Q17" s="83">
        <f t="shared" si="13"/>
        <v>0</v>
      </c>
      <c r="R17" s="84">
        <f>XNPV(2.5,P$5:P17,A$5:A17)</f>
        <v>0</v>
      </c>
      <c r="S17" s="25"/>
    </row>
    <row r="18" spans="1:19" x14ac:dyDescent="0.25">
      <c r="A18" s="48">
        <v>14</v>
      </c>
      <c r="B18" s="61">
        <v>100</v>
      </c>
      <c r="C18" s="49">
        <f t="shared" si="6"/>
        <v>380000000</v>
      </c>
      <c r="D18" s="50">
        <f t="shared" si="1"/>
        <v>0</v>
      </c>
      <c r="E18" s="18">
        <f t="shared" si="7"/>
        <v>14</v>
      </c>
      <c r="F18" s="54">
        <v>1</v>
      </c>
      <c r="G18" s="51">
        <f t="shared" si="2"/>
        <v>380000000</v>
      </c>
      <c r="H18" s="52">
        <f t="shared" si="3"/>
        <v>0</v>
      </c>
      <c r="I18" s="18">
        <f t="shared" si="8"/>
        <v>14</v>
      </c>
      <c r="J18" s="50">
        <v>0</v>
      </c>
      <c r="K18" s="49">
        <f t="shared" si="4"/>
        <v>0</v>
      </c>
      <c r="L18" s="20">
        <f>IF($K18-SUM($L$4:$L17)&gt;0,$K18-SUM($L$4:$L17),0)</f>
        <v>0</v>
      </c>
      <c r="M18" s="21">
        <f t="shared" si="9"/>
        <v>0</v>
      </c>
      <c r="N18" s="46">
        <f t="shared" si="10"/>
        <v>1.0075232550260771E-13</v>
      </c>
      <c r="O18" s="47">
        <f t="shared" si="11"/>
        <v>3.0225697650782315E-12</v>
      </c>
      <c r="P18" s="22">
        <f t="shared" si="12"/>
        <v>0</v>
      </c>
      <c r="Q18" s="83">
        <f t="shared" si="13"/>
        <v>0</v>
      </c>
      <c r="R18" s="84">
        <f>XNPV(2.5,P$5:P18,A$5:A18)</f>
        <v>0</v>
      </c>
      <c r="S18" s="25"/>
    </row>
    <row r="19" spans="1:19" s="77" customFormat="1" x14ac:dyDescent="0.25">
      <c r="A19" s="65">
        <v>15</v>
      </c>
      <c r="B19" s="66">
        <v>100</v>
      </c>
      <c r="C19" s="67">
        <f t="shared" si="6"/>
        <v>380000000</v>
      </c>
      <c r="D19" s="68">
        <f t="shared" si="1"/>
        <v>0</v>
      </c>
      <c r="E19" s="82">
        <f t="shared" si="7"/>
        <v>15</v>
      </c>
      <c r="F19" s="69">
        <v>1</v>
      </c>
      <c r="G19" s="70">
        <f t="shared" si="2"/>
        <v>380000000</v>
      </c>
      <c r="H19" s="71">
        <f t="shared" si="3"/>
        <v>0</v>
      </c>
      <c r="I19" s="82">
        <f t="shared" si="8"/>
        <v>15</v>
      </c>
      <c r="J19" s="68">
        <v>0</v>
      </c>
      <c r="K19" s="67">
        <f t="shared" si="4"/>
        <v>0</v>
      </c>
      <c r="L19" s="67">
        <f>IF($K19-SUM($L$4:$L18)&gt;0,$K19-SUM($L$4:$L18),0)</f>
        <v>0</v>
      </c>
      <c r="M19" s="72">
        <f t="shared" si="9"/>
        <v>0</v>
      </c>
      <c r="N19" s="73">
        <f t="shared" si="10"/>
        <v>1.0226361038514681E-13</v>
      </c>
      <c r="O19" s="74">
        <f t="shared" si="11"/>
        <v>3.0679083115544044E-12</v>
      </c>
      <c r="P19" s="75">
        <f t="shared" si="12"/>
        <v>0</v>
      </c>
      <c r="Q19" s="83">
        <f t="shared" si="13"/>
        <v>0</v>
      </c>
      <c r="R19" s="84">
        <f>XNPV(2.5,P$5:P19,A$5:A19)</f>
        <v>0</v>
      </c>
      <c r="S19" s="76"/>
    </row>
    <row r="20" spans="1:19" x14ac:dyDescent="0.25">
      <c r="A20" s="48">
        <v>16</v>
      </c>
      <c r="B20" s="60">
        <v>100</v>
      </c>
      <c r="C20" s="49">
        <f t="shared" si="6"/>
        <v>380000000</v>
      </c>
      <c r="D20" s="50">
        <f t="shared" si="1"/>
        <v>0</v>
      </c>
      <c r="E20" s="18">
        <f t="shared" si="7"/>
        <v>16</v>
      </c>
      <c r="F20" s="53">
        <v>1</v>
      </c>
      <c r="G20" s="51">
        <f t="shared" si="2"/>
        <v>380000000</v>
      </c>
      <c r="H20" s="52">
        <f t="shared" si="3"/>
        <v>0</v>
      </c>
      <c r="I20" s="18">
        <f t="shared" si="8"/>
        <v>16</v>
      </c>
      <c r="J20" s="43">
        <v>0</v>
      </c>
      <c r="K20" s="49">
        <f t="shared" si="4"/>
        <v>0</v>
      </c>
      <c r="L20" s="20">
        <f>IF($K20-SUM($L$4:$L19)&gt;0,$K20-SUM($L$4:$L19),0)</f>
        <v>0</v>
      </c>
      <c r="M20" s="21">
        <f t="shared" si="9"/>
        <v>0</v>
      </c>
      <c r="N20" s="46">
        <f t="shared" si="10"/>
        <v>1.0379756454092401E-13</v>
      </c>
      <c r="O20" s="47">
        <f t="shared" si="11"/>
        <v>3.1139269362277204E-12</v>
      </c>
      <c r="P20" s="22">
        <f t="shared" si="12"/>
        <v>0</v>
      </c>
      <c r="Q20" s="83">
        <f t="shared" si="13"/>
        <v>0</v>
      </c>
      <c r="R20" s="84">
        <f>XNPV(2.5,P$5:P20,A$5:A20)</f>
        <v>0</v>
      </c>
      <c r="S20" s="25"/>
    </row>
    <row r="21" spans="1:19" x14ac:dyDescent="0.25">
      <c r="A21" s="42">
        <v>17</v>
      </c>
      <c r="B21" s="61">
        <v>100</v>
      </c>
      <c r="C21" s="49">
        <f t="shared" si="6"/>
        <v>380000000</v>
      </c>
      <c r="D21" s="50">
        <f t="shared" si="1"/>
        <v>0</v>
      </c>
      <c r="E21" s="18">
        <f t="shared" si="7"/>
        <v>17</v>
      </c>
      <c r="F21" s="54">
        <v>1</v>
      </c>
      <c r="G21" s="51">
        <f t="shared" si="2"/>
        <v>380000000</v>
      </c>
      <c r="H21" s="52">
        <f t="shared" si="3"/>
        <v>0</v>
      </c>
      <c r="I21" s="18">
        <f t="shared" si="8"/>
        <v>17</v>
      </c>
      <c r="J21" s="50">
        <v>0</v>
      </c>
      <c r="K21" s="49">
        <f t="shared" si="4"/>
        <v>0</v>
      </c>
      <c r="L21" s="20">
        <f>IF($K21-SUM($L$4:$L20)&gt;0,$K21-SUM($L$4:$L20),0)</f>
        <v>0</v>
      </c>
      <c r="M21" s="21">
        <f t="shared" si="9"/>
        <v>0</v>
      </c>
      <c r="N21" s="46">
        <f t="shared" si="10"/>
        <v>1.0535452800903784E-13</v>
      </c>
      <c r="O21" s="47">
        <f t="shared" si="11"/>
        <v>3.1606358402711352E-12</v>
      </c>
      <c r="P21" s="22">
        <f t="shared" si="12"/>
        <v>0</v>
      </c>
      <c r="Q21" s="83">
        <f t="shared" si="13"/>
        <v>0</v>
      </c>
      <c r="R21" s="84">
        <f>XNPV(2.5,P$5:P21,A$5:A21)</f>
        <v>0</v>
      </c>
      <c r="S21" s="25"/>
    </row>
    <row r="22" spans="1:19" s="77" customFormat="1" x14ac:dyDescent="0.25">
      <c r="A22" s="65">
        <v>18</v>
      </c>
      <c r="B22" s="66">
        <v>100</v>
      </c>
      <c r="C22" s="67">
        <f t="shared" si="6"/>
        <v>380000000</v>
      </c>
      <c r="D22" s="68">
        <f t="shared" si="1"/>
        <v>0</v>
      </c>
      <c r="E22" s="82">
        <f t="shared" si="7"/>
        <v>18</v>
      </c>
      <c r="F22" s="69">
        <v>1</v>
      </c>
      <c r="G22" s="70">
        <f t="shared" si="2"/>
        <v>380000000</v>
      </c>
      <c r="H22" s="71">
        <f t="shared" si="3"/>
        <v>0</v>
      </c>
      <c r="I22" s="82">
        <f t="shared" si="8"/>
        <v>18</v>
      </c>
      <c r="J22" s="68">
        <v>0</v>
      </c>
      <c r="K22" s="67">
        <f t="shared" si="4"/>
        <v>0</v>
      </c>
      <c r="L22" s="67">
        <f>IF($K22-SUM($L$4:$L21)&gt;0,$K22-SUM($L$4:$L21),0)</f>
        <v>0</v>
      </c>
      <c r="M22" s="72">
        <f t="shared" si="9"/>
        <v>0</v>
      </c>
      <c r="N22" s="73">
        <f t="shared" si="10"/>
        <v>1.0693484592917341E-13</v>
      </c>
      <c r="O22" s="74">
        <f t="shared" si="11"/>
        <v>3.2080453778752023E-12</v>
      </c>
      <c r="P22" s="75">
        <f t="shared" si="12"/>
        <v>0</v>
      </c>
      <c r="Q22" s="83">
        <f t="shared" si="13"/>
        <v>0</v>
      </c>
      <c r="R22" s="84">
        <f>XNPV(2.5,P$5:P22,A$5:A22)</f>
        <v>0</v>
      </c>
      <c r="S22" s="76"/>
    </row>
    <row r="23" spans="1:19" x14ac:dyDescent="0.25">
      <c r="A23" s="42">
        <v>19</v>
      </c>
      <c r="B23" s="60">
        <v>100</v>
      </c>
      <c r="C23" s="49">
        <f t="shared" si="6"/>
        <v>380000000</v>
      </c>
      <c r="D23" s="50">
        <f t="shared" si="1"/>
        <v>0</v>
      </c>
      <c r="E23" s="18">
        <f t="shared" si="7"/>
        <v>19</v>
      </c>
      <c r="F23" s="53">
        <v>1</v>
      </c>
      <c r="G23" s="51">
        <f t="shared" si="2"/>
        <v>380000000</v>
      </c>
      <c r="H23" s="52">
        <f t="shared" si="3"/>
        <v>0</v>
      </c>
      <c r="I23" s="18">
        <f t="shared" si="8"/>
        <v>19</v>
      </c>
      <c r="J23" s="43">
        <v>0</v>
      </c>
      <c r="K23" s="49">
        <f t="shared" si="4"/>
        <v>0</v>
      </c>
      <c r="L23" s="20">
        <f>IF($K23-SUM($L$4:$L22)&gt;0,$K23-SUM($L$4:$L22),0)</f>
        <v>0</v>
      </c>
      <c r="M23" s="21">
        <f t="shared" si="9"/>
        <v>0</v>
      </c>
      <c r="N23" s="46">
        <f t="shared" si="10"/>
        <v>1.0853886861811099E-13</v>
      </c>
      <c r="O23" s="47">
        <f t="shared" si="11"/>
        <v>3.2561660585433298E-12</v>
      </c>
      <c r="P23" s="22">
        <f t="shared" si="12"/>
        <v>0</v>
      </c>
      <c r="Q23" s="83">
        <f t="shared" si="13"/>
        <v>0</v>
      </c>
      <c r="R23" s="84">
        <f>XNPV(2.5,P$5:P23,A$5:A23)</f>
        <v>0</v>
      </c>
      <c r="S23" s="25"/>
    </row>
    <row r="24" spans="1:19" x14ac:dyDescent="0.25">
      <c r="A24" s="48">
        <v>20</v>
      </c>
      <c r="B24" s="61">
        <v>100</v>
      </c>
      <c r="C24" s="49">
        <f t="shared" si="6"/>
        <v>380000000</v>
      </c>
      <c r="D24" s="50">
        <f t="shared" si="1"/>
        <v>0</v>
      </c>
      <c r="E24" s="18">
        <f t="shared" si="7"/>
        <v>20</v>
      </c>
      <c r="F24" s="54">
        <v>1</v>
      </c>
      <c r="G24" s="51">
        <f t="shared" si="2"/>
        <v>380000000</v>
      </c>
      <c r="H24" s="52">
        <f t="shared" si="3"/>
        <v>0</v>
      </c>
      <c r="I24" s="18">
        <f t="shared" si="8"/>
        <v>20</v>
      </c>
      <c r="J24" s="50">
        <v>0</v>
      </c>
      <c r="K24" s="49">
        <f t="shared" si="4"/>
        <v>0</v>
      </c>
      <c r="L24" s="20">
        <f>IF($K24-SUM($L$4:$L23)&gt;0,$K24-SUM($L$4:$L23),0)</f>
        <v>0</v>
      </c>
      <c r="M24" s="21">
        <f t="shared" si="9"/>
        <v>0</v>
      </c>
      <c r="N24" s="46">
        <f t="shared" si="10"/>
        <v>1.1016695164738263E-13</v>
      </c>
      <c r="O24" s="47">
        <f t="shared" si="11"/>
        <v>3.3050085494214787E-12</v>
      </c>
      <c r="P24" s="22">
        <f t="shared" si="12"/>
        <v>0</v>
      </c>
      <c r="Q24" s="83">
        <f t="shared" si="13"/>
        <v>0</v>
      </c>
      <c r="R24" s="84">
        <f>XNPV(2.5,P$5:P24,A$5:A24)</f>
        <v>0</v>
      </c>
      <c r="S24" s="25"/>
    </row>
    <row r="25" spans="1:19" x14ac:dyDescent="0.25">
      <c r="A25" s="81"/>
      <c r="B25" s="28"/>
      <c r="C25" s="28"/>
      <c r="D25" s="28"/>
      <c r="E25" s="81"/>
      <c r="F25" s="28"/>
      <c r="G25" s="28"/>
      <c r="H25" s="28"/>
      <c r="I25" s="81"/>
      <c r="J25" s="28"/>
      <c r="K25" s="28"/>
      <c r="L25" s="28"/>
      <c r="M25" s="28"/>
      <c r="N25" s="28"/>
      <c r="O25" s="28"/>
      <c r="P25" s="28"/>
      <c r="Q25" s="28"/>
    </row>
    <row r="26" spans="1:19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</row>
    <row r="27" spans="1:19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</row>
    <row r="28" spans="1:19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</row>
    <row r="29" spans="1:19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9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9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9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</sheetData>
  <sheetProtection sheet="1" objects="1" scenarios="1"/>
  <mergeCells count="6">
    <mergeCell ref="P3:P4"/>
    <mergeCell ref="B2:D2"/>
    <mergeCell ref="F2:H2"/>
    <mergeCell ref="J2:K2"/>
    <mergeCell ref="L2:M2"/>
    <mergeCell ref="N2:P2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Params</vt:lpstr>
      <vt:lpstr>Tables</vt:lpstr>
      <vt:lpstr>Graph</vt:lpstr>
      <vt:lpstr>tblINIT</vt:lpstr>
      <vt:lpstr>AnneeDebAnalys</vt:lpstr>
      <vt:lpstr>AnneeDebPeriod</vt:lpstr>
      <vt:lpstr>AnneeFinAnalys</vt:lpstr>
      <vt:lpstr>AnneeFinPeriod</vt:lpstr>
      <vt:lpstr>AnneeRefer</vt:lpstr>
      <vt:lpstr>IndicPopulDebPeriod</vt:lpstr>
      <vt:lpstr>IndicPopulFinPeriod</vt:lpstr>
      <vt:lpstr>Marché</vt:lpstr>
      <vt:lpstr>PenetrationRefer</vt:lpstr>
      <vt:lpstr>PenetRefCount</vt:lpstr>
      <vt:lpstr>PenetRefTaux</vt:lpstr>
      <vt:lpstr>PopulationDebAnalyse</vt:lpstr>
      <vt:lpstr>PopulationFinAnalyse</vt:lpstr>
      <vt:lpstr>PopulationRefer</vt:lpstr>
      <vt:lpstr>PopulRefCount</vt:lpstr>
      <vt:lpstr>PopulRefIndic</vt:lpstr>
      <vt:lpstr>PrixVenteIncrement</vt:lpstr>
      <vt:lpstr>PrixVenteInitial</vt:lpstr>
      <vt:lpstr>RefYear</vt:lpstr>
      <vt:lpstr>Royalties</vt:lpstr>
      <vt:lpstr>TauxEquipDebPer</vt:lpstr>
      <vt:lpstr>TauxEquipFinPer</vt:lpstr>
      <vt:lpstr>TauxInflat</vt:lpstr>
      <vt:lpstr>TauxPenetrDebPeriod</vt:lpstr>
      <vt:lpstr>TauxPenetrFinPeriod</vt:lpstr>
      <vt:lpstr>tblEquip</vt:lpstr>
      <vt:lpstr>tblPenetr</vt:lpstr>
      <vt:lpstr>tblPopulat</vt:lpstr>
      <vt:lpstr>tblVentes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Jean-Michel Didier</dc:creator>
  <cp:lastModifiedBy>Jean-Michel Didier</cp:lastModifiedBy>
  <cp:lastPrinted>2024-09-11T18:51:31Z</cp:lastPrinted>
  <dcterms:created xsi:type="dcterms:W3CDTF">2024-08-30T14:23:08Z</dcterms:created>
  <dcterms:modified xsi:type="dcterms:W3CDTF">2025-11-16T09:16:39Z</dcterms:modified>
</cp:coreProperties>
</file>